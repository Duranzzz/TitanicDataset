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ProbEst\ProyectoFinal\titanic\"/>
    </mc:Choice>
  </mc:AlternateContent>
  <xr:revisionPtr revIDLastSave="0" documentId="13_ncr:1_{C991404F-E751-434E-91F1-7FEEA6D6606C}" xr6:coauthVersionLast="47" xr6:coauthVersionMax="47" xr10:uidLastSave="{00000000-0000-0000-0000-000000000000}"/>
  <bookViews>
    <workbookView xWindow="-120" yWindow="-120" windowWidth="20640" windowHeight="11760" activeTab="3" xr2:uid="{00000000-000D-0000-FFFF-FFFF00000000}"/>
  </bookViews>
  <sheets>
    <sheet name="Datos Limpios" sheetId="1" r:id="rId1"/>
    <sheet name="Tablas Cualitativas" sheetId="2" r:id="rId2"/>
    <sheet name="Tablas Cruzadas" sheetId="5" r:id="rId3"/>
    <sheet name="Estadísticos Descriptivos" sheetId="4" r:id="rId4"/>
  </sheets>
  <definedNames>
    <definedName name="_xlcn.WorksheetConnection_DatosLimpiosA1H8901" hidden="1">'Datos Limpios'!$A$1:$H$890</definedName>
  </definedNames>
  <calcPr calcId="191029"/>
  <pivotCaches>
    <pivotCache cacheId="107" r:id="rId5"/>
    <pivotCache cacheId="117" r:id="rId6"/>
    <pivotCache cacheId="118" r:id="rId7"/>
    <pivotCache cacheId="124" r:id="rId8"/>
    <pivotCache cacheId="136" r:id="rId9"/>
    <pivotCache cacheId="140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os Limpios!$A$1:$H$89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67" i="4" l="1"/>
  <c r="BS64" i="4"/>
  <c r="BS57" i="4"/>
  <c r="BS60" i="4" s="1"/>
  <c r="BS54" i="4"/>
  <c r="BS51" i="4"/>
  <c r="BS47" i="4"/>
  <c r="BS44" i="4"/>
  <c r="BS41" i="4"/>
  <c r="BU5" i="4" a="1"/>
  <c r="BU5" i="4" s="1"/>
  <c r="BX5" i="4" l="1"/>
  <c r="BU8" i="4"/>
  <c r="BU11" i="4"/>
  <c r="BU7" i="4"/>
  <c r="BU10" i="4"/>
  <c r="BU6" i="4"/>
  <c r="BU9" i="4"/>
  <c r="AL100" i="4"/>
  <c r="AL97" i="4"/>
  <c r="AL90" i="4"/>
  <c r="AL93" i="4" s="1"/>
  <c r="AL87" i="4"/>
  <c r="AL84" i="4"/>
  <c r="AL80" i="4"/>
  <c r="AL77" i="4"/>
  <c r="AL74" i="4"/>
  <c r="AN2" i="4"/>
  <c r="AK9" i="4"/>
  <c r="AN1" i="4"/>
  <c r="AN3" i="4" s="1"/>
  <c r="C9" i="4"/>
  <c r="F2" i="4"/>
  <c r="F1" i="4"/>
  <c r="F3" i="4" s="1"/>
  <c r="D74" i="4"/>
  <c r="D100" i="4"/>
  <c r="D97" i="4"/>
  <c r="BU12" i="4" l="1"/>
  <c r="BV7" i="4" s="1"/>
  <c r="BW7" i="4" s="1"/>
  <c r="BV9" i="4"/>
  <c r="BW9" i="4" s="1"/>
  <c r="BV6" i="4"/>
  <c r="BW6" i="4" s="1"/>
  <c r="BV10" i="4"/>
  <c r="BW10" i="4" s="1"/>
  <c r="BV11" i="4"/>
  <c r="BW11" i="4" s="1"/>
  <c r="BV8" i="4"/>
  <c r="BW8" i="4" s="1"/>
  <c r="BV5" i="4"/>
  <c r="BX6" i="4"/>
  <c r="BX7" i="4" s="1"/>
  <c r="BX8" i="4" s="1"/>
  <c r="BX9" i="4" s="1"/>
  <c r="BX10" i="4" s="1"/>
  <c r="BX11" i="4" s="1"/>
  <c r="AN4" i="4"/>
  <c r="AK10" i="4" s="1"/>
  <c r="F4" i="4"/>
  <c r="C10" i="4" s="1"/>
  <c r="BV12" i="4" l="1"/>
  <c r="BY5" i="4"/>
  <c r="BY6" i="4" s="1"/>
  <c r="BY7" i="4" s="1"/>
  <c r="BY8" i="4" s="1"/>
  <c r="BY9" i="4" s="1"/>
  <c r="BY10" i="4" s="1"/>
  <c r="BY11" i="4" s="1"/>
  <c r="BW5" i="4"/>
  <c r="AL9" i="4"/>
  <c r="AK11" i="4"/>
  <c r="C11" i="4"/>
  <c r="D9" i="4"/>
  <c r="BW12" i="4" l="1"/>
  <c r="CA5" i="4" s="1" a="1"/>
  <c r="CA5" i="4" s="1"/>
  <c r="CA6" i="4" s="1" a="1"/>
  <c r="CA6" i="4" s="1"/>
  <c r="CA7" i="4" s="1" a="1"/>
  <c r="CA7" i="4" s="1"/>
  <c r="CA8" i="4" s="1" a="1"/>
  <c r="CA8" i="4" s="1"/>
  <c r="CA9" i="4" s="1" a="1"/>
  <c r="CA9" i="4" s="1"/>
  <c r="CA10" i="4" s="1" a="1"/>
  <c r="CA10" i="4" s="1"/>
  <c r="CA11" i="4" s="1" a="1"/>
  <c r="CA11" i="4" s="1"/>
  <c r="BZ5" i="4"/>
  <c r="BZ6" i="4" s="1"/>
  <c r="BZ7" i="4" s="1"/>
  <c r="BZ8" i="4" s="1"/>
  <c r="BZ9" i="4" s="1"/>
  <c r="BZ10" i="4" s="1"/>
  <c r="BZ11" i="4" s="1"/>
  <c r="AK12" i="4"/>
  <c r="AL10" i="4"/>
  <c r="AW9" i="4"/>
  <c r="AM9" i="4"/>
  <c r="D10" i="4"/>
  <c r="O9" i="4"/>
  <c r="E9" i="4"/>
  <c r="C12" i="4"/>
  <c r="AL11" i="4" l="1"/>
  <c r="AM10" i="4"/>
  <c r="AW10" i="4"/>
  <c r="AK13" i="4"/>
  <c r="C13" i="4"/>
  <c r="D11" i="4"/>
  <c r="O10" i="4"/>
  <c r="E10" i="4"/>
  <c r="AL12" i="4" l="1"/>
  <c r="AM11" i="4"/>
  <c r="AW11" i="4"/>
  <c r="AK14" i="4"/>
  <c r="C14" i="4"/>
  <c r="D12" i="4"/>
  <c r="O11" i="4"/>
  <c r="E11" i="4"/>
  <c r="AK15" i="4" l="1"/>
  <c r="AL13" i="4"/>
  <c r="AW12" i="4"/>
  <c r="AM12" i="4"/>
  <c r="D13" i="4"/>
  <c r="O12" i="4"/>
  <c r="E12" i="4"/>
  <c r="C15" i="4"/>
  <c r="AL14" i="4" l="1"/>
  <c r="AM13" i="4"/>
  <c r="AW13" i="4"/>
  <c r="AK16" i="4"/>
  <c r="C16" i="4"/>
  <c r="D14" i="4"/>
  <c r="E13" i="4"/>
  <c r="O13" i="4"/>
  <c r="AK17" i="4" l="1"/>
  <c r="AL15" i="4"/>
  <c r="AM14" i="4"/>
  <c r="AW14" i="4"/>
  <c r="D15" i="4"/>
  <c r="O14" i="4"/>
  <c r="E14" i="4"/>
  <c r="C17" i="4"/>
  <c r="AK18" i="4" l="1"/>
  <c r="AL16" i="4"/>
  <c r="AW15" i="4"/>
  <c r="AM15" i="4"/>
  <c r="C18" i="4"/>
  <c r="D16" i="4"/>
  <c r="O15" i="4"/>
  <c r="E15" i="4"/>
  <c r="AL17" i="4" l="1"/>
  <c r="AW16" i="4"/>
  <c r="AM16" i="4"/>
  <c r="AK19" i="4"/>
  <c r="D17" i="4"/>
  <c r="E16" i="4"/>
  <c r="O16" i="4"/>
  <c r="C19" i="4"/>
  <c r="AL18" i="4" l="1"/>
  <c r="AM17" i="4"/>
  <c r="AW17" i="4"/>
  <c r="C20" i="4"/>
  <c r="D18" i="4"/>
  <c r="E17" i="4"/>
  <c r="O17" i="4"/>
  <c r="AL19" i="4" l="1"/>
  <c r="AM18" i="4"/>
  <c r="AW18" i="4"/>
  <c r="D19" i="4"/>
  <c r="E18" i="4"/>
  <c r="O18" i="4"/>
  <c r="AN9" i="4" l="1" a="1"/>
  <c r="AM19" i="4"/>
  <c r="AW19" i="4"/>
  <c r="D20" i="4"/>
  <c r="E19" i="4"/>
  <c r="O19" i="4"/>
  <c r="AN19" i="4" l="1"/>
  <c r="AN18" i="4"/>
  <c r="AN16" i="4"/>
  <c r="AN11" i="4"/>
  <c r="AN13" i="4"/>
  <c r="AN12" i="4"/>
  <c r="AN9" i="4"/>
  <c r="AN17" i="4"/>
  <c r="AN10" i="4"/>
  <c r="AN15" i="4"/>
  <c r="AN14" i="4"/>
  <c r="F9" i="4" a="1"/>
  <c r="E20" i="4"/>
  <c r="O20" i="4"/>
  <c r="AQ9" i="4" l="1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N20" i="4"/>
  <c r="AT9" i="4" s="1"/>
  <c r="AT10" i="4" s="1"/>
  <c r="AT11" i="4" s="1"/>
  <c r="AT12" i="4" s="1"/>
  <c r="AT13" i="4" s="1"/>
  <c r="AT14" i="4" s="1"/>
  <c r="AT15" i="4" s="1"/>
  <c r="AT16" i="4" s="1"/>
  <c r="AT17" i="4" s="1"/>
  <c r="AT18" i="4" s="1"/>
  <c r="AT19" i="4" s="1"/>
  <c r="F20" i="4"/>
  <c r="F9" i="4"/>
  <c r="F19" i="4"/>
  <c r="F18" i="4"/>
  <c r="F17" i="4"/>
  <c r="F16" i="4"/>
  <c r="F15" i="4"/>
  <c r="F11" i="4"/>
  <c r="F14" i="4"/>
  <c r="F12" i="4"/>
  <c r="F10" i="4"/>
  <c r="F13" i="4"/>
  <c r="D90" i="4"/>
  <c r="D93" i="4" s="1"/>
  <c r="D87" i="4"/>
  <c r="D84" i="4"/>
  <c r="D80" i="4"/>
  <c r="D77" i="4"/>
  <c r="C126" i="5"/>
  <c r="C125" i="5"/>
  <c r="C124" i="5"/>
  <c r="C123" i="5"/>
  <c r="C122" i="5"/>
  <c r="C121" i="5"/>
  <c r="C107" i="5"/>
  <c r="C105" i="5"/>
  <c r="C118" i="5"/>
  <c r="C117" i="5"/>
  <c r="C116" i="5"/>
  <c r="C115" i="5"/>
  <c r="C114" i="5"/>
  <c r="C113" i="5"/>
  <c r="C112" i="5"/>
  <c r="C111" i="5"/>
  <c r="C110" i="5"/>
  <c r="C106" i="5"/>
  <c r="C103" i="5"/>
  <c r="C104" i="5"/>
  <c r="C102" i="5"/>
  <c r="C74" i="5"/>
  <c r="C73" i="5"/>
  <c r="C72" i="5"/>
  <c r="C30" i="5"/>
  <c r="C29" i="5"/>
  <c r="C69" i="5"/>
  <c r="C68" i="5"/>
  <c r="C67" i="5"/>
  <c r="C66" i="5"/>
  <c r="C65" i="5"/>
  <c r="C64" i="5"/>
  <c r="C59" i="5"/>
  <c r="C58" i="5"/>
  <c r="C57" i="5"/>
  <c r="C61" i="5"/>
  <c r="C60" i="5"/>
  <c r="C26" i="5"/>
  <c r="C25" i="5"/>
  <c r="C24" i="5"/>
  <c r="C23" i="5"/>
  <c r="C20" i="5"/>
  <c r="C19" i="5"/>
  <c r="C18" i="5"/>
  <c r="C17" i="5"/>
  <c r="F21" i="4" l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D126" i="5"/>
  <c r="D125" i="5"/>
  <c r="D124" i="5"/>
  <c r="D123" i="5"/>
  <c r="D122" i="5"/>
  <c r="D121" i="5"/>
  <c r="D118" i="5"/>
  <c r="D117" i="5"/>
  <c r="D116" i="5"/>
  <c r="D115" i="5"/>
  <c r="D114" i="5"/>
  <c r="D113" i="5"/>
  <c r="D112" i="5"/>
  <c r="D111" i="5"/>
  <c r="D110" i="5"/>
  <c r="D107" i="5"/>
  <c r="D106" i="5"/>
  <c r="D105" i="5"/>
  <c r="D102" i="5"/>
  <c r="D104" i="5"/>
  <c r="D103" i="5"/>
  <c r="D57" i="5"/>
  <c r="D58" i="5"/>
  <c r="D59" i="5"/>
  <c r="D74" i="5"/>
  <c r="D73" i="5"/>
  <c r="D72" i="5"/>
  <c r="D69" i="5"/>
  <c r="D68" i="5"/>
  <c r="D67" i="5"/>
  <c r="D66" i="5"/>
  <c r="D65" i="5"/>
  <c r="D64" i="5"/>
  <c r="D17" i="5"/>
  <c r="D18" i="5"/>
  <c r="D19" i="5"/>
  <c r="D20" i="5"/>
  <c r="D23" i="5"/>
  <c r="D24" i="5"/>
  <c r="D25" i="5"/>
  <c r="D26" i="5"/>
  <c r="D29" i="5"/>
  <c r="D30" i="5"/>
  <c r="D60" i="5"/>
  <c r="D61" i="5"/>
  <c r="AZ7" i="2"/>
  <c r="AZ5" i="2"/>
  <c r="AZ8" i="2" s="1"/>
  <c r="AZ6" i="2"/>
  <c r="AI5" i="2"/>
  <c r="AI6" i="2"/>
  <c r="T5" i="2" a="1"/>
  <c r="T5" i="2" s="1"/>
  <c r="E5" i="2" a="1"/>
  <c r="E5" i="2" s="1"/>
  <c r="L9" i="4" l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AO14" i="4"/>
  <c r="AP14" i="4" s="1"/>
  <c r="AO19" i="4"/>
  <c r="AP19" i="4" s="1"/>
  <c r="AO15" i="4"/>
  <c r="AP15" i="4" s="1"/>
  <c r="AO17" i="4"/>
  <c r="AP17" i="4" s="1"/>
  <c r="AO9" i="4"/>
  <c r="AO12" i="4"/>
  <c r="AP12" i="4" s="1"/>
  <c r="AO13" i="4"/>
  <c r="AP13" i="4" s="1"/>
  <c r="AO11" i="4"/>
  <c r="AP11" i="4" s="1"/>
  <c r="AO16" i="4"/>
  <c r="AP16" i="4" s="1"/>
  <c r="AO10" i="4"/>
  <c r="AP10" i="4" s="1"/>
  <c r="AO18" i="4"/>
  <c r="AP18" i="4" s="1"/>
  <c r="G19" i="4"/>
  <c r="H19" i="4" s="1"/>
  <c r="G18" i="4"/>
  <c r="H18" i="4" s="1"/>
  <c r="G17" i="4"/>
  <c r="H17" i="4" s="1"/>
  <c r="G16" i="4"/>
  <c r="H16" i="4" s="1"/>
  <c r="G15" i="4"/>
  <c r="H15" i="4" s="1"/>
  <c r="G11" i="4"/>
  <c r="H11" i="4" s="1"/>
  <c r="G14" i="4"/>
  <c r="H14" i="4" s="1"/>
  <c r="G12" i="4"/>
  <c r="H12" i="4" s="1"/>
  <c r="G20" i="4"/>
  <c r="H20" i="4" s="1"/>
  <c r="G10" i="4"/>
  <c r="H10" i="4" s="1"/>
  <c r="G9" i="4"/>
  <c r="G13" i="4"/>
  <c r="H13" i="4" s="1"/>
  <c r="BA6" i="2"/>
  <c r="BA7" i="2"/>
  <c r="BA5" i="2"/>
  <c r="W5" i="2"/>
  <c r="T7" i="2"/>
  <c r="T6" i="2"/>
  <c r="E6" i="2"/>
  <c r="AO20" i="4" l="1"/>
  <c r="AR9" i="4"/>
  <c r="AR10" i="4" s="1"/>
  <c r="AR11" i="4" s="1"/>
  <c r="AR12" i="4" s="1"/>
  <c r="AR13" i="4" s="1"/>
  <c r="AR14" i="4" s="1"/>
  <c r="AR15" i="4" s="1"/>
  <c r="AR16" i="4" s="1"/>
  <c r="AR17" i="4" s="1"/>
  <c r="AR18" i="4" s="1"/>
  <c r="AR19" i="4" s="1"/>
  <c r="AP9" i="4"/>
  <c r="AS9" i="4" s="1"/>
  <c r="AS10" i="4" s="1"/>
  <c r="AS11" i="4" s="1"/>
  <c r="AS12" i="4" s="1"/>
  <c r="AS13" i="4" s="1"/>
  <c r="AS14" i="4" s="1"/>
  <c r="AS15" i="4" s="1"/>
  <c r="AS16" i="4" s="1"/>
  <c r="AS17" i="4" s="1"/>
  <c r="AS18" i="4" s="1"/>
  <c r="AS19" i="4" s="1"/>
  <c r="G21" i="4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H9" i="4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AI7" i="2"/>
  <c r="W6" i="2"/>
  <c r="W7" i="2" s="1"/>
  <c r="T8" i="2"/>
  <c r="AP20" i="4" l="1"/>
  <c r="AV9" i="4" s="1"/>
  <c r="AV10" i="4" s="1"/>
  <c r="AV11" i="4" s="1"/>
  <c r="AV12" i="4" s="1"/>
  <c r="AV13" i="4" s="1"/>
  <c r="AV14" i="4" s="1"/>
  <c r="AV15" i="4" s="1"/>
  <c r="AV16" i="4" s="1"/>
  <c r="AV17" i="4" s="1"/>
  <c r="AV18" i="4" s="1"/>
  <c r="AV19" i="4" s="1"/>
  <c r="AU9" i="4"/>
  <c r="AU10" i="4" s="1"/>
  <c r="AU11" i="4" s="1"/>
  <c r="AU12" i="4" s="1"/>
  <c r="AU13" i="4" s="1"/>
  <c r="AU14" i="4" s="1"/>
  <c r="AU15" i="4" s="1"/>
  <c r="AU16" i="4" s="1"/>
  <c r="AU17" i="4" s="1"/>
  <c r="AU18" i="4" s="1"/>
  <c r="AU19" i="4" s="1"/>
  <c r="H21" i="4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K9" i="4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BB6" i="2"/>
  <c r="BB7" i="2"/>
  <c r="U5" i="2"/>
  <c r="X5" i="2" s="1"/>
  <c r="U7" i="2"/>
  <c r="V7" i="2" s="1"/>
  <c r="U6" i="2"/>
  <c r="V6" i="2" s="1"/>
  <c r="BA8" i="2" l="1"/>
  <c r="BB5" i="2"/>
  <c r="BB8" i="2" s="1"/>
  <c r="V5" i="2"/>
  <c r="Y5" i="2" s="1"/>
  <c r="Y6" i="2" s="1"/>
  <c r="Y7" i="2" s="1"/>
  <c r="X6" i="2"/>
  <c r="X7" i="2" s="1"/>
  <c r="U8" i="2"/>
  <c r="V8" i="2" l="1"/>
  <c r="Z5" i="2" s="1" a="1"/>
  <c r="Z5" i="2" s="1"/>
  <c r="Z6" i="2" s="1" a="1"/>
  <c r="Z6" i="2" l="1"/>
  <c r="Z7" i="2" a="1"/>
  <c r="Z7" i="2" s="1"/>
  <c r="E7" i="2" l="1"/>
  <c r="F5" i="2" l="1"/>
  <c r="AJ6" i="2"/>
  <c r="AK6" i="2" s="1"/>
  <c r="AJ5" i="2"/>
  <c r="G5" i="2"/>
  <c r="F6" i="2"/>
  <c r="G6" i="2" s="1"/>
  <c r="AJ7" i="2" l="1"/>
  <c r="AK5" i="2"/>
  <c r="AK7" i="2" s="1"/>
  <c r="F7" i="2"/>
  <c r="G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CFC6A-2945-4D96-965D-2A3952479E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948179-E0F9-43A0-90EA-A7CEBD2EA80B}" name="WorksheetConnection_Datos Limpios!$A$1:$H$89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osLimpiosA1H89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<sst xmlns="http://schemas.openxmlformats.org/spreadsheetml/2006/main" count="4122" uniqueCount="287">
  <si>
    <t>S</t>
  </si>
  <si>
    <t>C</t>
  </si>
  <si>
    <t>Q</t>
  </si>
  <si>
    <t>Superviviente</t>
  </si>
  <si>
    <t>Pclase</t>
  </si>
  <si>
    <t>Sexo</t>
  </si>
  <si>
    <t>Edad</t>
  </si>
  <si>
    <t>HermanosConyuges</t>
  </si>
  <si>
    <t>PadresHijosAbordo</t>
  </si>
  <si>
    <t>Tarifa</t>
  </si>
  <si>
    <t>Embarque</t>
  </si>
  <si>
    <t>Variable Categórica</t>
  </si>
  <si>
    <t>a) Distribución de Frecuencias de Supervivencia en el Titanic</t>
  </si>
  <si>
    <t>fi</t>
  </si>
  <si>
    <t>fr</t>
  </si>
  <si>
    <t>%</t>
  </si>
  <si>
    <t>Sobrevivientes</t>
  </si>
  <si>
    <t>No sobrevivientes</t>
  </si>
  <si>
    <t>Total</t>
  </si>
  <si>
    <t>INTERPRETACION</t>
  </si>
  <si>
    <t>REPRESENTACION VISUAL</t>
  </si>
  <si>
    <t>La diferencia absoluta de 209 personas indica que por cada superviviente hubo aproximadamente 1,6 víctimas.</t>
  </si>
  <si>
    <t>La catástrofe fue extremadamente severa, con casi 2 de cada 3 personas perdiendo la vida.</t>
  </si>
  <si>
    <r>
      <t>Grafico N°1</t>
    </r>
    <r>
      <rPr>
        <sz val="11"/>
        <color theme="4" tint="-0.249977111117893"/>
        <rFont val="Calibri"/>
        <family val="2"/>
        <scheme val="minor"/>
      </rPr>
      <t xml:space="preserve"> Distribución porcentual de supervivientes y víctimas del Titanic</t>
    </r>
  </si>
  <si>
    <t>Fuente: Dataset público de Kaggle "Titanic - Machine Learning from Disaster"</t>
  </si>
  <si>
    <r>
      <t xml:space="preserve">Grafico N°2 </t>
    </r>
    <r>
      <rPr>
        <sz val="11"/>
        <color theme="4" tint="-0.249977111117893"/>
        <rFont val="Calibri"/>
        <family val="2"/>
        <scheme val="minor"/>
      </rPr>
      <t>Comparativa absoluta de supervivientes y víctimas del Titanic</t>
    </r>
  </si>
  <si>
    <t>Torta o gráfico circular</t>
  </si>
  <si>
    <t>Fi(-)</t>
  </si>
  <si>
    <t>Fr(-)</t>
  </si>
  <si>
    <t>% (-)</t>
  </si>
  <si>
    <t>Fi(+)</t>
  </si>
  <si>
    <t>Fr(+)</t>
  </si>
  <si>
    <t>%(+)</t>
  </si>
  <si>
    <t>Primera clase</t>
  </si>
  <si>
    <t>Segunda clase</t>
  </si>
  <si>
    <t>Tercera clase</t>
  </si>
  <si>
    <t>Valor</t>
  </si>
  <si>
    <t>La Segunda Clase es el grupo más pequeño con apenas el 20,70%.</t>
  </si>
  <si>
    <t>b) Distribución de Frecuencias por clases en el Titanic</t>
  </si>
  <si>
    <r>
      <t>Grafico N°1</t>
    </r>
    <r>
      <rPr>
        <sz val="11"/>
        <color theme="4" tint="-0.249977111117893"/>
        <rFont val="Calibri"/>
        <family val="2"/>
        <scheme val="minor"/>
      </rPr>
      <t xml:space="preserve"> Proporción porcentual de pasajeros por clase en el Titanic</t>
    </r>
  </si>
  <si>
    <r>
      <t xml:space="preserve">Grafico N°2 </t>
    </r>
    <r>
      <rPr>
        <sz val="11"/>
        <color theme="4" tint="-0.249977111117893"/>
        <rFont val="Calibri"/>
        <family val="2"/>
        <scheme val="minor"/>
      </rPr>
      <t>Distribución de pasajeros del Titanic por clase social</t>
    </r>
  </si>
  <si>
    <t>mujer</t>
  </si>
  <si>
    <t>hombre</t>
  </si>
  <si>
    <t>Damas</t>
  </si>
  <si>
    <t>Varones</t>
  </si>
  <si>
    <r>
      <t xml:space="preserve">Los </t>
    </r>
    <r>
      <rPr>
        <sz val="12"/>
        <color theme="1"/>
        <rFont val="Segoe UI"/>
        <family val="2"/>
      </rPr>
      <t>varones representan el 64,90%</t>
    </r>
    <r>
      <rPr>
        <sz val="12"/>
        <color theme="1"/>
        <rFont val="Segoe UI"/>
        <family val="2"/>
      </rPr>
      <t xml:space="preserve"> (577 personas) contra solo </t>
    </r>
    <r>
      <rPr>
        <sz val="12"/>
        <color theme="1"/>
        <rFont val="Segoe UI"/>
        <family val="2"/>
      </rPr>
      <t>35,10% de damas</t>
    </r>
    <r>
      <rPr>
        <sz val="12"/>
        <color theme="1"/>
        <rFont val="Segoe UI"/>
        <family val="2"/>
      </rPr>
      <t xml:space="preserve"> (312 personas).</t>
    </r>
  </si>
  <si>
    <t>Esta diferencia de 265 personas refleja las normas sociales de 1912, donde los hombres viajaban más por trabajo o migración,</t>
  </si>
  <si>
    <t>mientras las mujeres lo hacían generalmente acompañadas.</t>
  </si>
  <si>
    <r>
      <t xml:space="preserve">Esta tabla muestra la tasa de supervivencia del Titanic con una </t>
    </r>
    <r>
      <rPr>
        <sz val="12"/>
        <color theme="1"/>
        <rFont val="Segoe UI"/>
        <family val="2"/>
      </rPr>
      <t>mortalidad muy superior a la supervivencia</t>
    </r>
    <r>
      <rPr>
        <sz val="12"/>
        <color theme="1"/>
        <rFont val="Segoe UI"/>
        <family val="2"/>
      </rPr>
      <t>.</t>
    </r>
  </si>
  <si>
    <r>
      <t xml:space="preserve">Solo el </t>
    </r>
    <r>
      <rPr>
        <sz val="12"/>
        <color theme="1"/>
        <rFont val="Segoe UI"/>
        <family val="2"/>
      </rPr>
      <t>38,25%</t>
    </r>
    <r>
      <rPr>
        <sz val="12"/>
        <color theme="1"/>
        <rFont val="Segoe UI"/>
        <family val="2"/>
      </rPr>
      <t xml:space="preserve"> de las personas a bordo sobrevivieron, mientras que el </t>
    </r>
    <r>
      <rPr>
        <sz val="12"/>
        <color theme="1"/>
        <rFont val="Segoe UI"/>
        <family val="2"/>
      </rPr>
      <t>61,75%</t>
    </r>
    <r>
      <rPr>
        <sz val="12"/>
        <color theme="1"/>
        <rFont val="Segoe UI"/>
        <family val="2"/>
      </rPr>
      <t xml:space="preserve"> (549 personas) fallecieron.</t>
    </r>
  </si>
  <si>
    <r>
      <t xml:space="preserve">La tabla revela una </t>
    </r>
    <r>
      <rPr>
        <sz val="12"/>
        <color theme="1"/>
        <rFont val="Segoe UI"/>
        <family val="2"/>
      </rPr>
      <t>inequidad estructural</t>
    </r>
    <r>
      <rPr>
        <sz val="12"/>
        <color theme="1"/>
        <rFont val="Segoe UI"/>
        <family val="2"/>
      </rPr>
      <t xml:space="preserve"> en el pasaje del Titanic.</t>
    </r>
  </si>
  <si>
    <r>
      <t xml:space="preserve">La </t>
    </r>
    <r>
      <rPr>
        <sz val="12"/>
        <color theme="1"/>
        <rFont val="Segoe UI"/>
        <family val="2"/>
      </rPr>
      <t>Tercera Clase</t>
    </r>
    <r>
      <rPr>
        <sz val="12"/>
        <color theme="1"/>
        <rFont val="Segoe UI"/>
        <family val="2"/>
      </rPr>
      <t xml:space="preserve"> representa el </t>
    </r>
    <r>
      <rPr>
        <sz val="12"/>
        <color theme="1"/>
        <rFont val="Segoe UI"/>
        <family val="2"/>
      </rPr>
      <t>55,23%</t>
    </r>
    <r>
      <rPr>
        <sz val="12"/>
        <color theme="1"/>
        <rFont val="Segoe UI"/>
        <family val="2"/>
      </rPr>
      <t xml:space="preserve"> (491 pasajeros) del total, más del doble que la Primera Clase (24,07%). </t>
    </r>
  </si>
  <si>
    <t>La distribución refleja la pirámide socioeconómica de 1912.</t>
  </si>
  <si>
    <r>
      <t xml:space="preserve">Hay </t>
    </r>
    <r>
      <rPr>
        <sz val="12"/>
        <color theme="1"/>
        <rFont val="Inherit"/>
      </rPr>
      <t>1,85 hombres por cada mujer</t>
    </r>
    <r>
      <rPr>
        <sz val="12"/>
        <color theme="1"/>
        <rFont val="Inherit"/>
      </rPr>
      <t xml:space="preserve"> a bordo</t>
    </r>
    <r>
      <rPr>
        <sz val="12"/>
        <color theme="1"/>
        <rFont val="Segoe UI"/>
        <family val="2"/>
      </rPr>
      <t>.</t>
    </r>
  </si>
  <si>
    <r>
      <t xml:space="preserve">Los datos muestran una </t>
    </r>
    <r>
      <rPr>
        <sz val="12"/>
        <color theme="1"/>
        <rFont val="Segoe UI"/>
        <family val="2"/>
      </rPr>
      <t>masculinización marcada</t>
    </r>
    <r>
      <rPr>
        <sz val="12"/>
        <color theme="1"/>
        <rFont val="Segoe UI"/>
        <family val="2"/>
      </rPr>
      <t xml:space="preserve"> del pasaje.</t>
    </r>
  </si>
  <si>
    <t>Variable Continua</t>
  </si>
  <si>
    <t>n</t>
  </si>
  <si>
    <t>W</t>
  </si>
  <si>
    <t>K</t>
  </si>
  <si>
    <t>Rango</t>
  </si>
  <si>
    <t xml:space="preserve">Intervalos </t>
  </si>
  <si>
    <t>Fi (-)</t>
  </si>
  <si>
    <t>Fi (+)</t>
  </si>
  <si>
    <t>% (+)</t>
  </si>
  <si>
    <t>PM (Xi)</t>
  </si>
  <si>
    <t xml:space="preserve">F.acum. Menor que </t>
  </si>
  <si>
    <t>F.acum Mayor que</t>
  </si>
  <si>
    <t>c) Distribución de Frecuencias por el sexo en el Titanic</t>
  </si>
  <si>
    <r>
      <t xml:space="preserve">La distribución etaria muestra una </t>
    </r>
    <r>
      <rPr>
        <sz val="12"/>
        <color theme="1"/>
        <rFont val="Segoe UI"/>
        <family val="2"/>
      </rPr>
      <t>concentración marcada en adultos jóvenes</t>
    </r>
  </si>
  <si>
    <r>
      <t xml:space="preserve">El </t>
    </r>
    <r>
      <rPr>
        <sz val="12"/>
        <color theme="1"/>
        <rFont val="Segoe UI"/>
        <family val="2"/>
      </rPr>
      <t>36%</t>
    </r>
    <r>
      <rPr>
        <sz val="12"/>
        <color theme="1"/>
        <rFont val="Segoe UI"/>
        <family val="2"/>
      </rPr>
      <t xml:space="preserve"> de pasajeros tenía entre </t>
    </r>
    <r>
      <rPr>
        <sz val="12"/>
        <color theme="1"/>
        <rFont val="Segoe UI"/>
        <family val="2"/>
      </rPr>
      <t>28-34 años</t>
    </r>
    <r>
      <rPr>
        <sz val="12"/>
        <color theme="1"/>
        <rFont val="Segoe UI"/>
        <family val="2"/>
      </rPr>
      <t xml:space="preserve"> (318 personas), y sumando el rango 21-27 años (18%), más de la </t>
    </r>
    <r>
      <rPr>
        <sz val="12"/>
        <color theme="1"/>
        <rFont val="Segoe UI"/>
        <family val="2"/>
      </rPr>
      <t>mitad (54%)</t>
    </r>
    <r>
      <rPr>
        <sz val="12"/>
        <color theme="1"/>
        <rFont val="Segoe UI"/>
        <family val="2"/>
      </rPr>
      <t xml:space="preserve"> estaba entre los 21 y 34 años.</t>
    </r>
  </si>
  <si>
    <r>
      <t xml:space="preserve">Los niños pequeños (0-6 años) representan solo el </t>
    </r>
    <r>
      <rPr>
        <sz val="12"/>
        <color theme="1"/>
        <rFont val="Segoe UI"/>
        <family val="2"/>
      </rPr>
      <t>5%</t>
    </r>
    <r>
      <rPr>
        <sz val="12"/>
        <color theme="1"/>
        <rFont val="Segoe UI"/>
        <family val="2"/>
      </rPr>
      <t xml:space="preserve">, mientras que adultos mayores de 63 años apenas suman el </t>
    </r>
    <r>
      <rPr>
        <sz val="12"/>
        <color theme="1"/>
        <rFont val="Segoe UI"/>
        <family val="2"/>
      </rPr>
      <t>2%</t>
    </r>
    <r>
      <rPr>
        <sz val="12"/>
        <color theme="1"/>
        <rFont val="Segoe UI"/>
        <family val="2"/>
      </rPr>
      <t>.</t>
    </r>
  </si>
  <si>
    <r>
      <rPr>
        <b/>
        <sz val="12"/>
        <color theme="1"/>
        <rFont val="Segoe UI"/>
        <family val="2"/>
      </rPr>
      <t>Pico poblacional</t>
    </r>
    <r>
      <rPr>
        <b/>
        <sz val="12"/>
        <color theme="1"/>
        <rFont val="Inherit"/>
      </rPr>
      <t>:</t>
    </r>
    <r>
      <rPr>
        <sz val="12"/>
        <color theme="1"/>
        <rFont val="Inherit"/>
      </rPr>
      <t xml:space="preserve"> 28-34 años (probablemente trabajadores migrantes)</t>
    </r>
  </si>
  <si>
    <t>Histograma o gráfico de barras</t>
  </si>
  <si>
    <t>Grafico N°1 Distribución de frecuencias absolutas por intervalos de edad</t>
  </si>
  <si>
    <t>Polígono o gráfica de líneas</t>
  </si>
  <si>
    <t>Torta o gráfica circulas</t>
  </si>
  <si>
    <t>Grafico N°3 tiempo de ensamble de un chasis</t>
  </si>
  <si>
    <t>Grafico N°4 Porcentaje acumulativo de pasajeros por edad creciente</t>
  </si>
  <si>
    <t>Grafico N°5 Porcentaje acumulativo de pasajeros por edad decreciente</t>
  </si>
  <si>
    <t>Variable Númerica Discreta</t>
  </si>
  <si>
    <t>e) Distribución de Frecuencias de Familiares a bordo en el Titanic</t>
  </si>
  <si>
    <t>Categoría</t>
  </si>
  <si>
    <t>%(-)</t>
  </si>
  <si>
    <t>Sin familiares a bordo</t>
  </si>
  <si>
    <t>1 familiar</t>
  </si>
  <si>
    <t>2 familiares</t>
  </si>
  <si>
    <t>3 familiares</t>
  </si>
  <si>
    <t>4 familiares</t>
  </si>
  <si>
    <t>5 familiares</t>
  </si>
  <si>
    <t>8 familiares</t>
  </si>
  <si>
    <r>
      <t xml:space="preserve">Los datos revelan que la </t>
    </r>
    <r>
      <rPr>
        <sz val="12"/>
        <color theme="1"/>
        <rFont val="Segoe UI"/>
        <family val="2"/>
      </rPr>
      <t>mayoría absoluta (68%)</t>
    </r>
    <r>
      <rPr>
        <sz val="12"/>
        <color theme="1"/>
        <rFont val="Segoe UI"/>
        <family val="2"/>
      </rPr>
      <t xml:space="preserve"> de los pasajeros viajaba </t>
    </r>
    <r>
      <rPr>
        <sz val="12"/>
        <color theme="1"/>
        <rFont val="Segoe UI"/>
        <family val="2"/>
      </rPr>
      <t>solo, sin familiares</t>
    </r>
    <r>
      <rPr>
        <sz val="12"/>
        <color theme="1"/>
        <rFont val="Segoe UI"/>
        <family val="2"/>
      </rPr>
      <t xml:space="preserve"> a bordo, lo cual refleja patrones migratorios y laborales de 1912. </t>
    </r>
  </si>
  <si>
    <r>
      <t xml:space="preserve">Solo el </t>
    </r>
    <r>
      <rPr>
        <sz val="12"/>
        <color theme="1"/>
        <rFont val="Segoe UI"/>
        <family val="2"/>
      </rPr>
      <t>24%</t>
    </r>
    <r>
      <rPr>
        <sz val="12"/>
        <color theme="1"/>
        <rFont val="Segoe UI"/>
        <family val="2"/>
      </rPr>
      <t xml:space="preserve"> tenía </t>
    </r>
    <r>
      <rPr>
        <sz val="12"/>
        <color theme="1"/>
        <rFont val="Segoe UI"/>
        <family val="2"/>
      </rPr>
      <t>1 familiar</t>
    </r>
    <r>
      <rPr>
        <sz val="12"/>
        <color theme="1"/>
        <rFont val="Segoe UI"/>
        <family val="2"/>
      </rPr>
      <t xml:space="preserve">, y el </t>
    </r>
    <r>
      <rPr>
        <sz val="12"/>
        <color theme="1"/>
        <rFont val="Segoe UI"/>
        <family val="2"/>
      </rPr>
      <t>8% restante</t>
    </r>
    <r>
      <rPr>
        <sz val="12"/>
        <color theme="1"/>
        <rFont val="Segoe UI"/>
        <family val="2"/>
      </rPr>
      <t xml:space="preserve"> (solo 74 personas) tenía 2 o más parientes.</t>
    </r>
  </si>
  <si>
    <r>
      <t xml:space="preserve">Los casos extremos de 4, 5 y 8 familiares son </t>
    </r>
    <r>
      <rPr>
        <sz val="12"/>
        <color theme="1"/>
        <rFont val="Segoe UI"/>
        <family val="2"/>
      </rPr>
      <t>anomalías estadísticas</t>
    </r>
    <r>
      <rPr>
        <sz val="12"/>
        <color theme="1"/>
        <rFont val="Segoe UI"/>
        <family val="2"/>
      </rPr>
      <t xml:space="preserve"> (&lt;1% cada uno), posiblemente familias numerosas migrando juntas.</t>
    </r>
  </si>
  <si>
    <r>
      <rPr>
        <b/>
        <sz val="12"/>
        <color theme="1"/>
        <rFont val="Segoe UI"/>
        <family val="2"/>
      </rPr>
      <t>Outliers</t>
    </r>
    <r>
      <rPr>
        <b/>
        <sz val="12"/>
        <color theme="1"/>
        <rFont val="Inherit"/>
      </rPr>
      <t>:</t>
    </r>
    <r>
      <rPr>
        <sz val="12"/>
        <color theme="1"/>
        <rFont val="Inherit"/>
      </rPr>
      <t xml:space="preserve"> El valor 8 familiares es atípico y debe analizarse como caso especial</t>
    </r>
  </si>
  <si>
    <r>
      <t xml:space="preserve">Grafico N°1 </t>
    </r>
    <r>
      <rPr>
        <sz val="11"/>
        <color theme="4" tint="-0.249977111117893"/>
        <rFont val="Calibri"/>
        <family val="2"/>
        <scheme val="minor"/>
      </rPr>
      <t>Distribución de pasajeros según número de familiares a bordo</t>
    </r>
  </si>
  <si>
    <r>
      <t xml:space="preserve">Grafico N°2 </t>
    </r>
    <r>
      <rPr>
        <sz val="11"/>
        <color theme="4" tint="-0.249977111117893"/>
        <rFont val="Calibri"/>
        <family val="2"/>
        <scheme val="minor"/>
      </rPr>
      <t>Distribución de pasajeros según número de familiares a bordo</t>
    </r>
  </si>
  <si>
    <t>Southampton</t>
  </si>
  <si>
    <t>Cherbourg</t>
  </si>
  <si>
    <t>Queenstown</t>
  </si>
  <si>
    <t>Puerto</t>
  </si>
  <si>
    <r>
      <t xml:space="preserve">Los datos muestran una </t>
    </r>
    <r>
      <rPr>
        <sz val="12"/>
        <color theme="1"/>
        <rFont val="Segoe UI"/>
        <family val="2"/>
      </rPr>
      <t>concentración absoluta en Southampton</t>
    </r>
  </si>
  <si>
    <r>
      <t>El 72,44%</t>
    </r>
    <r>
      <rPr>
        <sz val="12"/>
        <color theme="1"/>
        <rFont val="Segoe UI"/>
        <family val="2"/>
      </rPr>
      <t xml:space="preserve"> de los pasajeros (644 personas) embarcó en este puerto inglés, seguido muy lejos por </t>
    </r>
    <r>
      <rPr>
        <sz val="12"/>
        <color theme="1"/>
        <rFont val="Segoe UI"/>
        <family val="2"/>
      </rPr>
      <t>Cherbourg</t>
    </r>
    <r>
      <rPr>
        <sz val="12"/>
        <color theme="1"/>
        <rFont val="Segoe UI"/>
        <family val="2"/>
      </rPr>
      <t xml:space="preserve"> (18,90%, 168 personas) y finalmente </t>
    </r>
    <r>
      <rPr>
        <sz val="12"/>
        <color theme="1"/>
        <rFont val="Segoe UI"/>
        <family val="2"/>
      </rPr>
      <t>Queenstown</t>
    </r>
    <r>
      <rPr>
        <sz val="12"/>
        <color theme="1"/>
        <rFont val="Segoe UI"/>
        <family val="2"/>
      </rPr>
      <t xml:space="preserve"> (8,66%, 77 personas)</t>
    </r>
  </si>
  <si>
    <r>
      <t xml:space="preserve">Esta distribución refleja la </t>
    </r>
    <r>
      <rPr>
        <sz val="12"/>
        <color theme="1"/>
        <rFont val="Segoe UI"/>
        <family val="2"/>
      </rPr>
      <t>ruta oficial del Titanic</t>
    </r>
    <r>
      <rPr>
        <sz val="12"/>
        <color theme="1"/>
        <rFont val="Segoe UI"/>
        <family val="2"/>
      </rPr>
      <t>: Southampton → Cherbourg → Queenstown, donde el primer puerto capturó la mayoría del pasaje principalmente británico.</t>
    </r>
  </si>
  <si>
    <r>
      <t>Relevancia para análisis</t>
    </r>
    <r>
      <rPr>
        <sz val="12"/>
        <color theme="1"/>
        <rFont val="Inherit"/>
      </rPr>
      <t xml:space="preserve">: </t>
    </r>
    <r>
      <rPr>
        <sz val="12"/>
        <color theme="1"/>
        <rFont val="Segoe UI Semibold"/>
        <family val="2"/>
      </rPr>
      <t>El puerto está correlacionado con clase social y nacionalidad</t>
    </r>
  </si>
  <si>
    <r>
      <t xml:space="preserve">Grafico N°1 </t>
    </r>
    <r>
      <rPr>
        <sz val="11"/>
        <color theme="4" tint="-0.249977111117893"/>
        <rFont val="Calibri"/>
        <family val="2"/>
        <scheme val="minor"/>
      </rPr>
      <t>Proporción porcentual de pasajeros por puerto de embarque</t>
    </r>
  </si>
  <si>
    <r>
      <t xml:space="preserve">Grafico N°2 </t>
    </r>
    <r>
      <rPr>
        <sz val="11"/>
        <color theme="4" tint="-0.249977111117893"/>
        <rFont val="Calibri"/>
        <family val="2"/>
        <scheme val="minor"/>
      </rPr>
      <t>Concentración de pasajeros del Titanic por puerto de embarque</t>
    </r>
  </si>
  <si>
    <r>
      <t xml:space="preserve">La distribución de tarifas muestra una </t>
    </r>
    <r>
      <rPr>
        <sz val="12"/>
        <color theme="1"/>
        <rFont val="Segoe UI"/>
        <family val="2"/>
      </rPr>
      <t>concentración extrema en el rango bajo</t>
    </r>
  </si>
  <si>
    <r>
      <t xml:space="preserve">El </t>
    </r>
    <r>
      <rPr>
        <sz val="12"/>
        <color theme="1"/>
        <rFont val="Segoe UI"/>
        <family val="2"/>
      </rPr>
      <t>81%</t>
    </r>
    <r>
      <rPr>
        <sz val="12"/>
        <color theme="1"/>
        <rFont val="Segoe UI"/>
        <family val="2"/>
      </rPr>
      <t xml:space="preserve"> de pasajeros pagó entre </t>
    </r>
    <r>
      <rPr>
        <sz val="12"/>
        <color theme="1"/>
        <rFont val="Segoe UI"/>
        <family val="2"/>
      </rPr>
      <t>£0-46</t>
    </r>
    <r>
      <rPr>
        <sz val="12"/>
        <color theme="1"/>
        <rFont val="Segoe UI"/>
        <family val="2"/>
      </rPr>
      <t xml:space="preserve">, mientras que solo el </t>
    </r>
    <r>
      <rPr>
        <sz val="12"/>
        <color theme="1"/>
        <rFont val="Segoe UI"/>
        <family val="2"/>
      </rPr>
      <t>19% restante</t>
    </r>
    <r>
      <rPr>
        <sz val="12"/>
        <color theme="1"/>
        <rFont val="Segoe UI"/>
        <family val="2"/>
      </rPr>
      <t xml:space="preserve"> abonó tarifas superiores.</t>
    </r>
  </si>
  <si>
    <r>
      <t xml:space="preserve">Los intervalos entre </t>
    </r>
    <r>
      <rPr>
        <sz val="12"/>
        <color theme="1"/>
        <rFont val="Segoe UI"/>
        <family val="2"/>
      </rPr>
      <t>£282-422</t>
    </r>
    <r>
      <rPr>
        <sz val="12"/>
        <color theme="1"/>
        <rFont val="Segoe UI"/>
        <family val="2"/>
      </rPr>
      <t xml:space="preserve"> están completamente </t>
    </r>
    <r>
      <rPr>
        <sz val="12"/>
        <color theme="1"/>
        <rFont val="Segoe UI"/>
        <family val="2"/>
      </rPr>
      <t>vacíos</t>
    </r>
    <r>
      <rPr>
        <sz val="12"/>
        <color theme="1"/>
        <rFont val="Segoe UI"/>
        <family val="2"/>
      </rPr>
      <t xml:space="preserve">, evidenciando una </t>
    </r>
    <r>
      <rPr>
        <sz val="12"/>
        <color theme="1"/>
        <rFont val="Segoe UI"/>
        <family val="2"/>
      </rPr>
      <t>brecha estructural</t>
    </r>
    <r>
      <rPr>
        <sz val="12"/>
        <color theme="1"/>
        <rFont val="Segoe UI"/>
        <family val="2"/>
      </rPr>
      <t xml:space="preserve"> entre clases.</t>
    </r>
  </si>
  <si>
    <r>
      <t>Las tarifas más altas (</t>
    </r>
    <r>
      <rPr>
        <sz val="12"/>
        <color theme="1"/>
        <rFont val="Segoe UI"/>
        <family val="2"/>
      </rPr>
      <t>£470-516</t>
    </r>
    <r>
      <rPr>
        <sz val="12"/>
        <color theme="1"/>
        <rFont val="Segoe UI"/>
        <family val="2"/>
      </rPr>
      <t xml:space="preserve">) representan solo </t>
    </r>
    <r>
      <rPr>
        <sz val="12"/>
        <color theme="1"/>
        <rFont val="Segoe UI"/>
        <family val="2"/>
      </rPr>
      <t>3 casos</t>
    </r>
    <r>
      <rPr>
        <sz val="12"/>
        <color theme="1"/>
        <rFont val="Segoe UI"/>
        <family val="2"/>
      </rPr>
      <t xml:space="preserve"> (0.3%), correspondientes a suites de primera clase de lujo.</t>
    </r>
  </si>
  <si>
    <r>
      <rPr>
        <b/>
        <sz val="12"/>
        <color theme="1"/>
        <rFont val="Segoe UI"/>
        <family val="2"/>
      </rPr>
      <t>Estratificación social</t>
    </r>
    <r>
      <rPr>
        <b/>
        <sz val="12"/>
        <color theme="1"/>
        <rFont val="Inherit"/>
      </rPr>
      <t>:</t>
    </r>
    <r>
      <rPr>
        <sz val="12"/>
        <color theme="1"/>
        <rFont val="Inherit"/>
      </rPr>
      <t xml:space="preserve"> Los intervalos vacíos reflejan la ausencia de "clase media" en 1912</t>
    </r>
  </si>
  <si>
    <t>Grafico N°1 Distribución de frecuencias de tarifas del pasaje del Titanic</t>
  </si>
  <si>
    <t>Grafico N°3 Distribución de frecuencias de tarifas del pasaje del Titanic</t>
  </si>
  <si>
    <t>Grafico N°4 Distribución de frecuencias de tarifas del pasaje del Titanic</t>
  </si>
  <si>
    <t>Grafico N°5 Distribución de frecuencias de tarifas del pasaje del Titanic</t>
  </si>
  <si>
    <t>Grafico N°2 Distribución de frecuencias absolutas por intervalos de edad</t>
  </si>
  <si>
    <t>Grafico N°2 Distribución de frecuencias de tarifas del pasaje del Titanic</t>
  </si>
  <si>
    <t>d) Distribución de Frecuencias de los embarques al Titanic</t>
  </si>
  <si>
    <t>No (0)</t>
  </si>
  <si>
    <t>Si (1)</t>
  </si>
  <si>
    <t>Count of Embarque</t>
  </si>
  <si>
    <t>Tabla de contingencia</t>
  </si>
  <si>
    <t>Tabla de probabilidad</t>
  </si>
  <si>
    <t>a) Probabilidades Marginales:</t>
  </si>
  <si>
    <t>P(Hombre)</t>
  </si>
  <si>
    <t>P(Mujer)</t>
  </si>
  <si>
    <t>P(Sobrevivir)</t>
  </si>
  <si>
    <t>P(No sobrevivir)</t>
  </si>
  <si>
    <t>P(Sobrevivir | Mujer)</t>
  </si>
  <si>
    <t>P(Sobrevivir | Hombre)</t>
  </si>
  <si>
    <t>(probabilidad previa de ser hombre)</t>
  </si>
  <si>
    <t>(probabilidad previa de ser mujer)</t>
  </si>
  <si>
    <t>(probabilidad marginal de supervivencia)</t>
  </si>
  <si>
    <t>(probabilidad marginal de no supervivencia)</t>
  </si>
  <si>
    <t>b) Probabilidades Conjuntas:</t>
  </si>
  <si>
    <t>P(H ∩ No)</t>
  </si>
  <si>
    <t>P(H ∩ Si)</t>
  </si>
  <si>
    <t>P(M ∩ No)</t>
  </si>
  <si>
    <t>P(M ∩ Si)</t>
  </si>
  <si>
    <t>(probabilidad de que al azar sea hombre y fallezca)</t>
  </si>
  <si>
    <t>(probabilidad de que al azar sea mujer y fallezca)</t>
  </si>
  <si>
    <t>(probabilidad de que al azar sea mujer Y sobreviva)</t>
  </si>
  <si>
    <t>Significado</t>
  </si>
  <si>
    <t>(Interpretación: Una mujer tenía 74% de probabilidad de sobrevivir.)</t>
  </si>
  <si>
    <t>(Interpretación: Un hombre tenía solo 19% de probabilidad de sobrevivir.)</t>
  </si>
  <si>
    <t>c) Probabilidades Condicionales Clave:</t>
  </si>
  <si>
    <t>HALLAZGOS ESTADÍSTICOS Y PROBABILÍSTICOS</t>
  </si>
  <si>
    <r>
      <rPr>
        <b/>
        <sz val="11"/>
        <color theme="1"/>
        <rFont val="Calibri"/>
        <family val="2"/>
        <scheme val="minor"/>
      </rPr>
      <t>Conclusión Probabilística:</t>
    </r>
    <r>
      <rPr>
        <sz val="11"/>
        <color theme="1"/>
        <rFont val="Calibri"/>
        <family val="2"/>
        <scheme val="minor"/>
      </rPr>
      <t xml:space="preserve"> El sexo no solo es un factor diferenciador, sino que cambia radicalmente la probabilidad a posteriori de supervivencia, evidenciando que las políticas de evacuación no fueron neutrales y afectaron desproporcionadamente a hombres de todas las clases.</t>
    </r>
  </si>
  <si>
    <r>
      <rPr>
        <b/>
        <sz val="11"/>
        <color theme="1"/>
        <rFont val="Calibri"/>
        <family val="2"/>
        <scheme val="minor"/>
      </rPr>
      <t>2. Distribución Asimétrica:</t>
    </r>
    <r>
      <rPr>
        <sz val="11"/>
        <color theme="1"/>
        <rFont val="Calibri"/>
        <family val="2"/>
        <scheme val="minor"/>
      </rPr>
      <t xml:space="preserve"> El 52.6% de la población total (hombres fallecidos) concentra el mayor número de víctimas, mientras que las mujeres sobrevivientes representan el 25.98% del total, superando ampliamente su proporción poblacional (35.1%).</t>
    </r>
  </si>
  <si>
    <r>
      <rPr>
        <b/>
        <sz val="11"/>
        <color theme="1"/>
        <rFont val="Calibri"/>
        <family val="2"/>
        <scheme val="minor"/>
      </rPr>
      <t>1. Efecto Sexo:</t>
    </r>
    <r>
      <rPr>
        <sz val="11"/>
        <color theme="1"/>
        <rFont val="Calibri"/>
        <family val="2"/>
        <scheme val="minor"/>
      </rPr>
      <t xml:space="preserve"> La probabilidad de supervivencia entre mujeres es cuatro veces superior a la de hombres (74% vs 19%), confirmando que el sexo fue el predictor más fuerte.</t>
    </r>
  </si>
  <si>
    <r>
      <rPr>
        <b/>
        <sz val="11"/>
        <color theme="1"/>
        <rFont val="Calibri"/>
        <family val="2"/>
        <scheme val="minor"/>
      </rPr>
      <t>3. Cumplimiento de Objetivos:</t>
    </r>
    <r>
      <rPr>
        <sz val="11"/>
        <color theme="1"/>
        <rFont val="Calibri"/>
        <family val="2"/>
        <scheme val="minor"/>
      </rPr>
      <t xml:space="preserve"> Esta tabla </t>
    </r>
    <r>
      <rPr>
        <b/>
        <i/>
        <sz val="11"/>
        <color theme="1"/>
        <rFont val="Calibri"/>
        <family val="2"/>
        <scheme val="minor"/>
      </rPr>
      <t>satisface el OE1 ("Establecer distribución de supervivencia según sexo")</t>
    </r>
    <r>
      <rPr>
        <sz val="11"/>
        <color theme="1"/>
        <rFont val="Calibri"/>
        <family val="2"/>
        <scheme val="minor"/>
      </rPr>
      <t xml:space="preserve"> y proporciona base para el OE4 al cruzarse con clase y embarque en tablas adicionales.</t>
    </r>
  </si>
  <si>
    <t>P(1ª Clase)</t>
  </si>
  <si>
    <t>1ra Clase</t>
  </si>
  <si>
    <t>2da clase</t>
  </si>
  <si>
    <t>3ra clase</t>
  </si>
  <si>
    <t>P(2ª Clase)</t>
  </si>
  <si>
    <t>P(3ª Clase)</t>
  </si>
  <si>
    <t>(probabilidad previa de viajar en 1ª clase)</t>
  </si>
  <si>
    <t>(probabilidad previa de viajar en 2ª clase)</t>
  </si>
  <si>
    <t>(probabilidad previa de viajar en 3ª clase)</t>
  </si>
  <si>
    <t>P(1ª ∩ No)</t>
  </si>
  <si>
    <t xml:space="preserve">P(1ª ∩ Si) </t>
  </si>
  <si>
    <t>P(2ª ∩ No)</t>
  </si>
  <si>
    <t xml:space="preserve">P(2ª ∩ Si) </t>
  </si>
  <si>
    <t>P(3ª ∩ No)</t>
  </si>
  <si>
    <t>P(3ª ∩ Si)</t>
  </si>
  <si>
    <t>P(Sobrevivir | 1ª Clase)</t>
  </si>
  <si>
    <t>P(Sobrevivir | 2ª Clase)</t>
  </si>
  <si>
    <t>P(Sobrevivir | 3ª Clase)</t>
  </si>
  <si>
    <t>(probabilidad de que al azar sea 1ª clase y fallezca)</t>
  </si>
  <si>
    <t>(probabilidad de que al azar sea 1ª clase y sobreviva)</t>
  </si>
  <si>
    <t>(probabilidad de que al azar sea 2ª clase y fallezca)</t>
  </si>
  <si>
    <t>(probabilidad de que al azar sea 2ª clase y sobreviva)</t>
  </si>
  <si>
    <t>(probabilidad de que al azar sea 3ª clase y fallezca)</t>
  </si>
  <si>
    <t>(probabilidad de que al azar sea 3ª clase y sobreviva)</t>
  </si>
  <si>
    <t>(Interpretación: Un pasajero de 1ª clase tenía 63% de probabilidad de sobrevivir.)</t>
  </si>
  <si>
    <t>(Interpretación: Un pasajero de 2ª clase tenía 47% de probabilidad de sobrevivir.)</t>
  </si>
  <si>
    <t>(Interpretación: Un pasajero de 3ª clase tenía solo 24% de probabilidad de sobrevivir.)</t>
  </si>
  <si>
    <r>
      <rPr>
        <b/>
        <sz val="11"/>
        <color theme="1"/>
        <rFont val="Calibri"/>
        <family val="2"/>
        <scheme val="minor"/>
      </rPr>
      <t>1. Efecto Clase Social:</t>
    </r>
    <r>
      <rPr>
        <sz val="11"/>
        <color theme="1"/>
        <rFont val="Calibri"/>
        <family val="2"/>
        <scheme val="minor"/>
      </rPr>
      <t xml:space="preserve"> La probabilidad de supervivencia en 1ª clase (63%) es 2.6 veces superior a 3ª clase (24%), evidenciando una clara jerarquía de prioridad en la evacuación basada en estatus socioeconómico.</t>
    </r>
  </si>
  <si>
    <r>
      <rPr>
        <b/>
        <sz val="11"/>
        <color theme="1"/>
        <rFont val="Calibri"/>
        <family val="2"/>
        <scheme val="minor"/>
      </rPr>
      <t>2. Distribución Desigual:</t>
    </r>
    <r>
      <rPr>
        <sz val="11"/>
        <color theme="1"/>
        <rFont val="Calibri"/>
        <family val="2"/>
        <scheme val="minor"/>
      </rPr>
      <t xml:space="preserve"> El 41.84% del total de pasajeros eran pasajeros de 3ª clase que fallecieron, concentrando la mayor tragedia. Solo el 13.39% del total logró ser 3ª clase sobreviviente.</t>
    </r>
  </si>
  <si>
    <r>
      <rPr>
        <b/>
        <sz val="11"/>
        <color theme="1"/>
        <rFont val="Calibri"/>
        <family val="2"/>
        <scheme val="minor"/>
      </rPr>
      <t>3. Gradiente Monotónico:</t>
    </r>
    <r>
      <rPr>
        <sz val="11"/>
        <color theme="1"/>
        <rFont val="Calibri"/>
        <family val="2"/>
        <scheme val="minor"/>
      </rPr>
      <t xml:space="preserve"> Existe una relación inversa perfecta entre número de clase y supervivencia (1ª &gt; 2ª &gt; 3ª), sin excepciones, lo que refuerza la hipótesis de ventaja socioeconómica.</t>
    </r>
  </si>
  <si>
    <r>
      <rPr>
        <b/>
        <sz val="11"/>
        <color theme="1"/>
        <rFont val="Calibri"/>
        <family val="2"/>
        <scheme val="minor"/>
      </rPr>
      <t>4. Cumplimiento de Objetivos:</t>
    </r>
    <r>
      <rPr>
        <sz val="11"/>
        <color theme="1"/>
        <rFont val="Calibri"/>
        <family val="2"/>
        <scheme val="minor"/>
      </rPr>
      <t xml:space="preserve"> Esta tabla satisface el OE2 ("Caracterizar perfiles según clase") y el OE4 ("Analizar relación entre puerto, clase y supervivencia") al ser base para cruces multidimensionales.</t>
    </r>
  </si>
  <si>
    <r>
      <rPr>
        <b/>
        <sz val="11"/>
        <color theme="1"/>
        <rFont val="Calibri"/>
        <family val="2"/>
        <scheme val="minor"/>
      </rPr>
      <t>Conclusión Probabilística:</t>
    </r>
    <r>
      <rPr>
        <sz val="11"/>
        <color theme="1"/>
        <rFont val="Calibri"/>
        <family val="2"/>
        <scheme val="minor"/>
      </rPr>
      <t xml:space="preserve"> La clase del pasaje fue un determinante estructural de supervivencia. Pasajeros de 1ª clase tuvieron </t>
    </r>
    <r>
      <rPr>
        <b/>
        <i/>
        <sz val="11"/>
        <color theme="1"/>
        <rFont val="Calibri"/>
        <family val="2"/>
        <scheme val="minor"/>
      </rPr>
      <t>probabilidad a posteriori 2.6 veces mayor</t>
    </r>
    <r>
      <rPr>
        <sz val="11"/>
        <color theme="1"/>
        <rFont val="Calibri"/>
        <family val="2"/>
        <scheme val="minor"/>
      </rPr>
      <t xml:space="preserve"> que 3ª clase, evidenciando que el acceso a botes salvavidas estuvo mediado por el poder adquisitivo, no por sorteo o capacidad física.</t>
    </r>
  </si>
  <si>
    <r>
      <t xml:space="preserve">CLASE SOCIAL </t>
    </r>
    <r>
      <rPr>
        <b/>
        <i/>
        <sz val="20"/>
        <color theme="1" tint="4.9989318521683403E-2"/>
        <rFont val="Calibri"/>
        <family val="2"/>
        <scheme val="minor"/>
      </rPr>
      <t>X</t>
    </r>
    <r>
      <rPr>
        <b/>
        <i/>
        <sz val="20"/>
        <color rgb="FFFF0000"/>
        <rFont val="Calibri"/>
        <family val="2"/>
        <scheme val="minor"/>
      </rPr>
      <t xml:space="preserve"> SUPERVIVENCIA</t>
    </r>
  </si>
  <si>
    <r>
      <t xml:space="preserve">SEXO </t>
    </r>
    <r>
      <rPr>
        <b/>
        <i/>
        <sz val="20"/>
        <color theme="1" tint="4.9989318521683403E-2"/>
        <rFont val="Calibri"/>
        <family val="2"/>
        <scheme val="minor"/>
      </rPr>
      <t>X</t>
    </r>
    <r>
      <rPr>
        <b/>
        <i/>
        <sz val="20"/>
        <color rgb="FFFF0000"/>
        <rFont val="Calibri"/>
        <family val="2"/>
        <scheme val="minor"/>
      </rPr>
      <t xml:space="preserve"> SUPERVIVENCIA</t>
    </r>
  </si>
  <si>
    <t>P(Cherbourg)</t>
  </si>
  <si>
    <t>P(Queenstown)</t>
  </si>
  <si>
    <t>P(Southampton)</t>
  </si>
  <si>
    <t>(probabilidad previa de embarcar en Cherbourg)</t>
  </si>
  <si>
    <t>(probabilidad previa de embarcar en Queenstown)</t>
  </si>
  <si>
    <t>(probabilidad previa de embarcar en Southampton)</t>
  </si>
  <si>
    <t>P(1ª ∩ Cherbourg)</t>
  </si>
  <si>
    <t>P(1ª ∩ Queenstown)</t>
  </si>
  <si>
    <t>P(1ª ∩ Southampton)</t>
  </si>
  <si>
    <t>P(2ª ∩ Cherbourg)</t>
  </si>
  <si>
    <t>P(2ª ∩ Queenstown)</t>
  </si>
  <si>
    <t>P(2ª ∩ Southampton)</t>
  </si>
  <si>
    <t>P(3ª ∩ Cherbourg)</t>
  </si>
  <si>
    <t xml:space="preserve">P(3ª ∩ Queenstown) </t>
  </si>
  <si>
    <t>P(3ª ∩ Southampton)</t>
  </si>
  <si>
    <t>(probabilidad de que al azar sea 1ª clase y embarque en Cherbourg)</t>
  </si>
  <si>
    <t>(probabilidad de que al azar sea 1ª clase y embarque en Queenstown)</t>
  </si>
  <si>
    <t>(probabilidad de que al azar sea 1ª clase y embarque en Southampton)</t>
  </si>
  <si>
    <t>(probabilidad de que al azar sea 2ª clase y embarque en Cherbourg)</t>
  </si>
  <si>
    <t>(probabilidad de que al azar sea 2ª clase y embarque en Queenstown)</t>
  </si>
  <si>
    <t>(probabilidad de que al azar sea 2ª clase y embarque en Southampton)</t>
  </si>
  <si>
    <t>(probabilidad de que al azar sea 3ª clase y embarque en Cherbourg)</t>
  </si>
  <si>
    <t>(probabilidad de que al azar sea 3ª clase y embarque en Queenstown)</t>
  </si>
  <si>
    <t>(probabilidad de que al azar sea 3ª clase y embarque en Southampton)</t>
  </si>
  <si>
    <t>P(Cherbourg | 1ª Clase)</t>
  </si>
  <si>
    <t>P(Queenstown | 1ª Clase)</t>
  </si>
  <si>
    <t>P(Southampton | 1ª Clase)</t>
  </si>
  <si>
    <t>P(Cherbourg | 3ª Clase)</t>
  </si>
  <si>
    <t>P(Queenstown | 3ª Clase)</t>
  </si>
  <si>
    <t>P(Southampton | 3ª Clase)</t>
  </si>
  <si>
    <t>(Interpretación: Un pasajero de 1ª clase tenía 40% de probabilidad de haber embarcado en Cherbourg.)</t>
  </si>
  <si>
    <t>(Interpretación: Un pasajero de 1ª clase tenía &lt;1% de probabilidad de haber embarcado en Queenstown.)</t>
  </si>
  <si>
    <t>(Interpretación: Un pasajero de 1ª clase tenía 59% de probabilidad de haber embarcado en Southampton.)</t>
  </si>
  <si>
    <t>(Interpretación: Un pasajero de 3ª clase tenía 13% de probabilidad de haber embarcado en Cherbourg.)</t>
  </si>
  <si>
    <t>(Interpretación: Un pasajero de 3ª clase tenía 17% de probabilidad de haber embarcado en Queenstown.)</t>
  </si>
  <si>
    <t>(Interpretación: Un pasajero de 3ª clase tenía 72% de probabilidad de haber embarcado en Southampton.)</t>
  </si>
  <si>
    <r>
      <rPr>
        <b/>
        <sz val="11"/>
        <color theme="1"/>
        <rFont val="Calibri"/>
        <family val="2"/>
        <scheme val="minor"/>
      </rPr>
      <t>1. Patrón de Embarque por Estatus:</t>
    </r>
    <r>
      <rPr>
        <sz val="11"/>
        <color theme="1"/>
        <rFont val="Calibri"/>
        <family val="2"/>
        <scheme val="minor"/>
      </rPr>
      <t xml:space="preserve"> Los pasajeros de 1ª clase prefirieron Cherbourg (40%) y Southampton (59%), mientras que los de 3ª clase se concentraron masivamente en Southampton (72%). Queenstown fue marginal para clases altas (0.9% en 1ª) pero significativo para 3ª (17%).</t>
    </r>
  </si>
  <si>
    <r>
      <rPr>
        <b/>
        <sz val="11"/>
        <color theme="1"/>
        <rFont val="Calibri"/>
        <family val="2"/>
        <scheme val="minor"/>
      </rPr>
      <t>2. Distribución Desigual Geográfica:</t>
    </r>
    <r>
      <rPr>
        <sz val="11"/>
        <color theme="1"/>
        <rFont val="Calibri"/>
        <family val="2"/>
        <scheme val="minor"/>
      </rPr>
      <t xml:space="preserve"> Southampton acumula el 39.71% del total de pasajeros (3ª clase + Southampton), evidenciando que el puerto de origen capturó mayoritariamente pasajeros de bajo estatus.</t>
    </r>
  </si>
  <si>
    <r>
      <rPr>
        <b/>
        <sz val="11"/>
        <color theme="1"/>
        <rFont val="Calibri"/>
        <family val="2"/>
        <scheme val="minor"/>
      </rPr>
      <t>3. Relación de Dependencia:</t>
    </r>
    <r>
      <rPr>
        <sz val="11"/>
        <color theme="1"/>
        <rFont val="Calibri"/>
        <family val="2"/>
        <scheme val="minor"/>
      </rPr>
      <t xml:space="preserve"> La probabilidad de embarcar en Cherbourg no es independiente de la clase (P(Cherbourg|1ª)=40% vs P(Cherbourg|3ª)=13%), confirmando que los puertos reflejaban segmentación socioeconómica.</t>
    </r>
  </si>
  <si>
    <r>
      <rPr>
        <b/>
        <sz val="11"/>
        <color theme="1"/>
        <rFont val="Calibri"/>
        <family val="2"/>
        <scheme val="minor"/>
      </rPr>
      <t>4. Cumplimiento de Objetivos:</t>
    </r>
    <r>
      <rPr>
        <sz val="11"/>
        <color theme="1"/>
        <rFont val="Calibri"/>
        <family val="2"/>
        <scheme val="minor"/>
      </rPr>
      <t xml:space="preserve"> Esta tabla satisface el OE4 ("Analizar relación entre puerto de embarque y clase") y permite inferencias sobre cómo la geografía del embarque influenció la composición social a bordo.</t>
    </r>
  </si>
  <si>
    <r>
      <rPr>
        <b/>
        <sz val="11"/>
        <color theme="1"/>
        <rFont val="Calibri"/>
        <family val="2"/>
        <scheme val="minor"/>
      </rPr>
      <t>Conclusión Probabilística:</t>
    </r>
    <r>
      <rPr>
        <sz val="11"/>
        <color theme="1"/>
        <rFont val="Calibri"/>
        <family val="2"/>
        <scheme val="minor"/>
      </rPr>
      <t xml:space="preserve"> El puerto de embarque fue un </t>
    </r>
    <r>
      <rPr>
        <sz val="11"/>
        <color theme="1"/>
        <rFont val="Calibri"/>
        <family val="2"/>
        <scheme val="minor"/>
      </rPr>
      <t>proxy de estatus social</t>
    </r>
    <r>
      <rPr>
        <sz val="11"/>
        <color theme="1"/>
        <rFont val="Calibri"/>
        <family val="2"/>
        <scheme val="minor"/>
      </rPr>
      <t>: Cherbourg capturó elite (alta concentración 1ª clase), Southampton transportó mayoría popular (72% de 3ª clase), y Queenstown fue intermedio. Esto explica parcialmente las diferencias de supervivencia por clase al correlacionar origen geográfico con acceso a cubiertas.</t>
    </r>
  </si>
  <si>
    <r>
      <t xml:space="preserve">CLASE SOCIAL </t>
    </r>
    <r>
      <rPr>
        <b/>
        <i/>
        <sz val="20"/>
        <color theme="1" tint="4.9989318521683403E-2"/>
        <rFont val="Calibri"/>
        <family val="2"/>
        <scheme val="minor"/>
      </rPr>
      <t>X</t>
    </r>
    <r>
      <rPr>
        <b/>
        <i/>
        <sz val="20"/>
        <color rgb="FFFF0000"/>
        <rFont val="Calibri"/>
        <family val="2"/>
        <scheme val="minor"/>
      </rPr>
      <t xml:space="preserve"> LUGAR DE EMBARQUE</t>
    </r>
  </si>
  <si>
    <t>Mediana</t>
  </si>
  <si>
    <t>Moda</t>
  </si>
  <si>
    <t>Varianza</t>
  </si>
  <si>
    <t>DATOS SIN AGRUPAR</t>
  </si>
  <si>
    <t>DATOS  AGRUPADOS</t>
  </si>
  <si>
    <t>Medidas de tendencia Central</t>
  </si>
  <si>
    <t>Media o promedio</t>
  </si>
  <si>
    <t>=</t>
  </si>
  <si>
    <t>Med=</t>
  </si>
  <si>
    <r>
      <t>Med</t>
    </r>
    <r>
      <rPr>
        <vertAlign val="subscript"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>=</t>
    </r>
  </si>
  <si>
    <r>
      <t>Med</t>
    </r>
    <r>
      <rPr>
        <vertAlign val="subscript"/>
        <sz val="11"/>
        <color theme="1"/>
        <rFont val="Calibri"/>
        <family val="2"/>
        <scheme val="minor"/>
      </rPr>
      <t>(V)</t>
    </r>
    <r>
      <rPr>
        <sz val="11"/>
        <color theme="1"/>
        <rFont val="Calibri"/>
        <family val="2"/>
        <scheme val="minor"/>
      </rPr>
      <t>=</t>
    </r>
  </si>
  <si>
    <t>Mo=</t>
  </si>
  <si>
    <t xml:space="preserve">Medidas de Variabilidad </t>
  </si>
  <si>
    <t>Desviación media o promedio</t>
  </si>
  <si>
    <t>DM=</t>
  </si>
  <si>
    <r>
      <t>S</t>
    </r>
    <r>
      <rPr>
        <vertAlign val="superscript"/>
        <sz val="11"/>
        <color theme="1"/>
        <rFont val="Calibri"/>
        <family val="2"/>
        <scheme val="minor"/>
      </rPr>
      <t>2</t>
    </r>
  </si>
  <si>
    <t>Desviación estándar</t>
  </si>
  <si>
    <t>S=</t>
  </si>
  <si>
    <t>Met. Nor</t>
  </si>
  <si>
    <t>Met. Corto</t>
  </si>
  <si>
    <t xml:space="preserve">Coeficiente de Variación </t>
  </si>
  <si>
    <t>CV=</t>
  </si>
  <si>
    <t xml:space="preserve">Medidas de Forma </t>
  </si>
  <si>
    <t xml:space="preserve">Coeficiente de Asimetría </t>
  </si>
  <si>
    <t>CA=</t>
  </si>
  <si>
    <t xml:space="preserve">Coeficiente de Curtosis </t>
  </si>
  <si>
    <t>CK=</t>
  </si>
  <si>
    <t>La edad promedio de los pasajeros del Titanic fue de 29.65 años</t>
  </si>
  <si>
    <t>El 50% de los pasajeros tenía menos de 29.70 años y el otro 50% más</t>
  </si>
  <si>
    <t>La edad más frecuente entre los pasajeros fue 29.70 años</t>
  </si>
  <si>
    <t>La edad promedio varía 9 años respecto a la media aritmética</t>
  </si>
  <si>
    <t>Las edades varían típicamente ±13 años respecto a la media</t>
  </si>
  <si>
    <t>La variabilidad de edad representa el 44% de la media (alta dispersión relativa)</t>
  </si>
  <si>
    <t>Los datos son asimetricos, la mayor parte de las edades esta por debajo del promedio</t>
  </si>
  <si>
    <t>a) Distribución de Frecuencias por Edad de Pasajeros del Titanic</t>
  </si>
  <si>
    <t>b)  Distribución de Frecuencias por Tarifa de Pasajeros del Titanic</t>
  </si>
  <si>
    <t>La tarifa promedio del pasaje fue de £32.10</t>
  </si>
  <si>
    <t>El 50% de las tarifas fueron menores a £14.45 y el otro 50% mayores</t>
  </si>
  <si>
    <t>La tarifa más frecuente entre los pasajeros fue £8.05</t>
  </si>
  <si>
    <t>Las tarifas varían en promedio £28 respecto a la media aritmética</t>
  </si>
  <si>
    <t>Las tarifas varían típicamente ±£50 respecto a la media</t>
  </si>
  <si>
    <t>La variabilidad de tarifas representa el 155% de la media (dispersión relativa muy alta)</t>
  </si>
  <si>
    <t>Los datos son asimetricos, la mayor parte del precio de las tarifas esta por debajo del promedio</t>
  </si>
  <si>
    <t xml:space="preserve">Los datos son leptocurticos, las edades dispersasn menos alrededor de la media </t>
  </si>
  <si>
    <t xml:space="preserve">Los datos son leptocurticos, el precio de las tarifas dispersan menos alrededor de la media </t>
  </si>
  <si>
    <t>Hermanos/Conyuges</t>
  </si>
  <si>
    <t>El promedio de hermanos/cónyuges por pasajero fue de 0.52 personas</t>
  </si>
  <si>
    <t>El 50% de los pasajeros tenían menos de 0 hermanos/cónyuges (viajaban solos) y el otro 50% tenían al menos 1</t>
  </si>
  <si>
    <t>La composición familiar más frecuente fue viajar sin hermanos/cónyuges</t>
  </si>
  <si>
    <t>El número de familiares varía en promedio 1 persona respecto a la media</t>
  </si>
  <si>
    <t>El número de hermanos/cónyuges varía típicamente ±1 respecto a la media</t>
  </si>
  <si>
    <t>La variabilidad representa el 211% de la media (dispersión relativa muy alta por concentración de ceros)</t>
  </si>
  <si>
    <t>Los datos son muy asimétricos a la derecha (mayoría viaja solo, pocos con familias grandes)</t>
  </si>
  <si>
    <t>Distribución muy leptocúrtica (alta concentración en 0, valores atípicos dispersos)</t>
  </si>
  <si>
    <t>EDAD</t>
  </si>
  <si>
    <t>TARIFA</t>
  </si>
  <si>
    <t>FAMILIARES</t>
  </si>
  <si>
    <r>
      <t xml:space="preserve">La variable </t>
    </r>
    <r>
      <rPr>
        <sz val="12"/>
        <color theme="1"/>
        <rFont val="Segoe UI"/>
        <family val="2"/>
      </rPr>
      <t>HermanosConyuges</t>
    </r>
    <r>
      <rPr>
        <sz val="12"/>
        <color theme="1"/>
        <rFont val="Segoe UI"/>
        <family val="2"/>
      </rPr>
      <t xml:space="preserve"> es de tipo </t>
    </r>
    <r>
      <rPr>
        <sz val="12"/>
        <color theme="1"/>
        <rFont val="Segoe UI"/>
        <family val="2"/>
      </rPr>
      <t>cuantitativa discreta</t>
    </r>
    <r>
      <rPr>
        <sz val="12"/>
        <color theme="1"/>
        <rFont val="Segoe UI"/>
        <family val="2"/>
      </rPr>
      <t xml:space="preserve"> con rango limitado (valores únicos: 0, 1, 2, 3, 4, 5, 6, 8) y frecuencia predominante en el valor cero (67% de casos).</t>
    </r>
  </si>
  <si>
    <r>
      <t xml:space="preserve">Dado su carácter discreto y la escasa dispersión de valores, </t>
    </r>
    <r>
      <rPr>
        <sz val="12"/>
        <color theme="1"/>
        <rFont val="Segoe UI"/>
        <family val="2"/>
      </rPr>
      <t>no es estadísticamente apropiado</t>
    </r>
    <r>
      <rPr>
        <sz val="12"/>
        <color theme="1"/>
        <rFont val="Segoe UI"/>
        <family val="2"/>
      </rPr>
      <t xml:space="preserve"> agruparla en intervalos de clase.</t>
    </r>
  </si>
  <si>
    <t>POR FAVOR IR MAS A LA DERECHA PARA VER LAS OTRAS 3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</si>
</sst>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_-* #,##0_-;\-* #,##0_-;_-* &quot;-&quot;??_-;_-@_-"/>
    <numFmt numFmtId="167" formatCode="0.0%"/>
    <numFmt numFmtId="182" formatCode="_-* #,##0.00_-;\-* #,##0.00_-;_-* &quot;-&quot;??_-;_-@_-"/>
  </numFmts>
  <fonts count="3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Segoe UI"/>
      <family val="2"/>
    </font>
    <font>
      <sz val="11"/>
      <color theme="4" tint="-0.249977111117893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Inherit"/>
    </font>
    <font>
      <b/>
      <sz val="12"/>
      <color theme="1"/>
      <name val="Segoe UI"/>
      <family val="2"/>
    </font>
    <font>
      <b/>
      <sz val="12"/>
      <color rgb="FFFF0000"/>
      <name val="Segoe UI"/>
      <family val="2"/>
    </font>
    <font>
      <b/>
      <sz val="12"/>
      <color rgb="FFFF0000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2"/>
      <color theme="1"/>
      <name val="Inherit"/>
    </font>
    <font>
      <sz val="12"/>
      <color theme="1"/>
      <name val="Segoe UI Semibold"/>
      <family val="2"/>
    </font>
    <font>
      <sz val="11"/>
      <color rgb="FFFF0000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Aptos Narrow"/>
      <family val="2"/>
    </font>
    <font>
      <b/>
      <i/>
      <sz val="11"/>
      <color theme="1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b/>
      <i/>
      <sz val="2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MS Reference Sans Serif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8"/>
      <color rgb="FF0070C0"/>
      <name val="Calibri"/>
      <family val="2"/>
      <scheme val="minor"/>
    </font>
    <font>
      <b/>
      <sz val="36"/>
      <color theme="1"/>
      <name val="Broadway"/>
      <family val="5"/>
    </font>
  </fonts>
  <fills count="2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1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39997558519241921"/>
        <bgColor theme="8" tint="0.59999389629810485"/>
      </patternFill>
    </fill>
    <fill>
      <patternFill patternType="solid">
        <fgColor rgb="FFCBD888"/>
        <bgColor theme="8" tint="0.59999389629810485"/>
      </patternFill>
    </fill>
    <fill>
      <patternFill patternType="solid">
        <fgColor rgb="FF50805D"/>
        <bgColor theme="8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BD888"/>
        <bgColor indexed="64"/>
      </patternFill>
    </fill>
    <fill>
      <patternFill patternType="solid">
        <fgColor rgb="FF5080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 tint="0.59999389629810485"/>
      </patternFill>
    </fill>
    <fill>
      <patternFill patternType="solid">
        <fgColor rgb="FFB8CCE4"/>
        <bgColor theme="4" tint="0.5999938962981048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82" fontId="2" fillId="0" borderId="0" applyFont="0" applyFill="0" applyBorder="0" applyAlignment="0" applyProtection="0"/>
  </cellStyleXfs>
  <cellXfs count="13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5" borderId="0" xfId="0" applyFill="1"/>
    <xf numFmtId="0" fontId="0" fillId="4" borderId="1" xfId="0" applyFill="1" applyBorder="1"/>
    <xf numFmtId="0" fontId="4" fillId="4" borderId="4" xfId="0" applyFont="1" applyFill="1" applyBorder="1"/>
    <xf numFmtId="0" fontId="0" fillId="4" borderId="2" xfId="0" applyFill="1" applyBorder="1"/>
    <xf numFmtId="10" fontId="0" fillId="4" borderId="2" xfId="1" applyNumberFormat="1" applyFont="1" applyFill="1" applyBorder="1"/>
    <xf numFmtId="0" fontId="4" fillId="2" borderId="5" xfId="0" applyFont="1" applyFill="1" applyBorder="1"/>
    <xf numFmtId="0" fontId="0" fillId="2" borderId="1" xfId="0" applyFill="1" applyBorder="1"/>
    <xf numFmtId="10" fontId="0" fillId="2" borderId="1" xfId="1" applyNumberFormat="1" applyFont="1" applyFill="1" applyBorder="1"/>
    <xf numFmtId="0" fontId="4" fillId="4" borderId="5" xfId="0" applyFont="1" applyFill="1" applyBorder="1"/>
    <xf numFmtId="0" fontId="0" fillId="8" borderId="1" xfId="0" applyFill="1" applyBorder="1"/>
    <xf numFmtId="0" fontId="0" fillId="7" borderId="4" xfId="0" applyFill="1" applyBorder="1"/>
    <xf numFmtId="0" fontId="0" fillId="7" borderId="2" xfId="0" applyFill="1" applyBorder="1"/>
    <xf numFmtId="164" fontId="0" fillId="7" borderId="2" xfId="0" applyNumberFormat="1" applyFill="1" applyBorder="1"/>
    <xf numFmtId="10" fontId="0" fillId="7" borderId="2" xfId="1" applyNumberFormat="1" applyFont="1" applyFill="1" applyBorder="1"/>
    <xf numFmtId="0" fontId="0" fillId="8" borderId="5" xfId="0" applyFill="1" applyBorder="1"/>
    <xf numFmtId="164" fontId="0" fillId="8" borderId="1" xfId="0" applyNumberFormat="1" applyFill="1" applyBorder="1"/>
    <xf numFmtId="10" fontId="0" fillId="8" borderId="1" xfId="1" applyNumberFormat="1" applyFont="1" applyFill="1" applyBorder="1"/>
    <xf numFmtId="0" fontId="0" fillId="7" borderId="5" xfId="0" applyFill="1" applyBorder="1"/>
    <xf numFmtId="0" fontId="0" fillId="7" borderId="1" xfId="0" applyFill="1" applyBorder="1"/>
    <xf numFmtId="164" fontId="0" fillId="7" borderId="1" xfId="0" applyNumberFormat="1" applyFill="1" applyBorder="1"/>
    <xf numFmtId="10" fontId="0" fillId="7" borderId="1" xfId="1" applyNumberFormat="1" applyFont="1" applyFill="1" applyBorder="1"/>
    <xf numFmtId="0" fontId="0" fillId="9" borderId="1" xfId="0" applyFill="1" applyBorder="1"/>
    <xf numFmtId="164" fontId="0" fillId="10" borderId="1" xfId="0" applyNumberFormat="1" applyFill="1" applyBorder="1"/>
    <xf numFmtId="10" fontId="0" fillId="11" borderId="1" xfId="1" applyNumberFormat="1" applyFont="1" applyFill="1" applyBorder="1"/>
    <xf numFmtId="49" fontId="0" fillId="4" borderId="2" xfId="0" applyNumberFormat="1" applyFill="1" applyBorder="1"/>
    <xf numFmtId="49" fontId="0" fillId="2" borderId="1" xfId="0" applyNumberFormat="1" applyFill="1" applyBorder="1"/>
    <xf numFmtId="0" fontId="4" fillId="8" borderId="5" xfId="0" applyFont="1" applyFill="1" applyBorder="1"/>
    <xf numFmtId="2" fontId="0" fillId="0" borderId="0" xfId="0" applyNumberFormat="1"/>
    <xf numFmtId="2" fontId="0" fillId="4" borderId="2" xfId="0" applyNumberFormat="1" applyFill="1" applyBorder="1"/>
    <xf numFmtId="2" fontId="0" fillId="2" borderId="1" xfId="0" applyNumberFormat="1" applyFill="1" applyBorder="1"/>
    <xf numFmtId="2" fontId="0" fillId="10" borderId="1" xfId="0" applyNumberFormat="1" applyFill="1" applyBorder="1"/>
    <xf numFmtId="0" fontId="3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8" xfId="0" applyBorder="1"/>
    <xf numFmtId="0" fontId="3" fillId="14" borderId="6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0" fillId="0" borderId="0" xfId="0" applyFont="1"/>
    <xf numFmtId="0" fontId="3" fillId="20" borderId="0" xfId="0" applyFont="1" applyFill="1" applyAlignment="1">
      <alignment horizontal="center"/>
    </xf>
    <xf numFmtId="0" fontId="3" fillId="20" borderId="3" xfId="0" applyFont="1" applyFill="1" applyBorder="1" applyAlignment="1">
      <alignment horizontal="center"/>
    </xf>
    <xf numFmtId="2" fontId="0" fillId="7" borderId="2" xfId="0" applyNumberFormat="1" applyFill="1" applyBorder="1"/>
    <xf numFmtId="1" fontId="0" fillId="10" borderId="1" xfId="0" applyNumberFormat="1" applyFill="1" applyBorder="1"/>
    <xf numFmtId="9" fontId="0" fillId="11" borderId="1" xfId="1" applyFont="1" applyFill="1" applyBorder="1"/>
    <xf numFmtId="0" fontId="0" fillId="0" borderId="7" xfId="0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21" fillId="0" borderId="0" xfId="0" applyFont="1"/>
    <xf numFmtId="0" fontId="20" fillId="0" borderId="0" xfId="0" applyFont="1"/>
    <xf numFmtId="16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0" fillId="0" borderId="0" xfId="0" applyFont="1"/>
    <xf numFmtId="0" fontId="26" fillId="2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27" fillId="0" borderId="0" xfId="0" applyFont="1"/>
    <xf numFmtId="0" fontId="28" fillId="0" borderId="0" xfId="0" applyFont="1"/>
    <xf numFmtId="1" fontId="0" fillId="2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25" borderId="0" xfId="0" applyNumberFormat="1" applyFill="1" applyAlignment="1">
      <alignment horizontal="center"/>
    </xf>
    <xf numFmtId="9" fontId="0" fillId="24" borderId="0" xfId="1" applyFont="1" applyFill="1" applyAlignment="1">
      <alignment horizontal="center"/>
    </xf>
    <xf numFmtId="182" fontId="0" fillId="24" borderId="0" xfId="2" applyFont="1" applyFill="1" applyAlignment="1">
      <alignment horizontal="center"/>
    </xf>
    <xf numFmtId="2" fontId="0" fillId="24" borderId="0" xfId="0" applyNumberFormat="1" applyFill="1" applyAlignment="1">
      <alignment horizontal="center"/>
    </xf>
    <xf numFmtId="0" fontId="18" fillId="0" borderId="0" xfId="0" applyFont="1"/>
    <xf numFmtId="9" fontId="0" fillId="26" borderId="0" xfId="1" applyFont="1" applyFill="1"/>
    <xf numFmtId="0" fontId="32" fillId="0" borderId="0" xfId="0" applyFont="1" applyAlignment="1">
      <alignment vertical="center"/>
    </xf>
    <xf numFmtId="0" fontId="31" fillId="0" borderId="0" xfId="0" applyFont="1" applyAlignment="1">
      <alignment wrapText="1"/>
    </xf>
    <xf numFmtId="1" fontId="0" fillId="12" borderId="6" xfId="0" applyNumberFormat="1" applyFill="1" applyBorder="1" applyAlignment="1">
      <alignment horizontal="center" vertical="center"/>
    </xf>
    <xf numFmtId="166" fontId="0" fillId="12" borderId="6" xfId="0" applyNumberForma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2" fontId="0" fillId="12" borderId="6" xfId="0" applyNumberFormat="1" applyFill="1" applyBorder="1" applyAlignment="1">
      <alignment horizontal="center" vertical="center"/>
    </xf>
    <xf numFmtId="9" fontId="0" fillId="12" borderId="6" xfId="0" applyNumberForma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9" fontId="0" fillId="16" borderId="6" xfId="0" applyNumberFormat="1" applyFill="1" applyBorder="1" applyAlignment="1">
      <alignment horizontal="center" vertical="center"/>
    </xf>
    <xf numFmtId="165" fontId="0" fillId="12" borderId="6" xfId="0" applyNumberFormat="1" applyFill="1" applyBorder="1" applyAlignment="1">
      <alignment horizontal="center" vertical="center"/>
    </xf>
    <xf numFmtId="166" fontId="0" fillId="13" borderId="6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2" fontId="0" fillId="13" borderId="6" xfId="0" applyNumberFormat="1" applyFill="1" applyBorder="1" applyAlignment="1">
      <alignment horizontal="center" vertical="center"/>
    </xf>
    <xf numFmtId="9" fontId="0" fillId="13" borderId="6" xfId="0" applyNumberFormat="1" applyFill="1" applyBorder="1" applyAlignment="1">
      <alignment horizontal="center" vertical="center"/>
    </xf>
    <xf numFmtId="165" fontId="0" fillId="13" borderId="6" xfId="0" applyNumberFormat="1" applyFill="1" applyBorder="1" applyAlignment="1">
      <alignment horizontal="center" vertical="center"/>
    </xf>
    <xf numFmtId="167" fontId="0" fillId="12" borderId="6" xfId="0" applyNumberFormat="1" applyFill="1" applyBorder="1" applyAlignment="1">
      <alignment horizontal="center" vertical="center"/>
    </xf>
    <xf numFmtId="2" fontId="0" fillId="15" borderId="6" xfId="0" applyNumberFormat="1" applyFill="1" applyBorder="1" applyAlignment="1">
      <alignment horizontal="center" vertical="center"/>
    </xf>
    <xf numFmtId="167" fontId="0" fillId="13" borderId="6" xfId="0" applyNumberFormat="1" applyFill="1" applyBorder="1" applyAlignment="1">
      <alignment horizontal="center" vertical="center"/>
    </xf>
    <xf numFmtId="166" fontId="4" fillId="13" borderId="6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23" borderId="0" xfId="0" applyFill="1"/>
    <xf numFmtId="0" fontId="0" fillId="19" borderId="1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/>
    </xf>
    <xf numFmtId="9" fontId="0" fillId="19" borderId="1" xfId="1" applyFon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1" fontId="0" fillId="17" borderId="6" xfId="0" applyNumberFormat="1" applyFill="1" applyBorder="1" applyAlignment="1">
      <alignment horizontal="center" vertical="center"/>
    </xf>
    <xf numFmtId="1" fontId="0" fillId="15" borderId="6" xfId="0" applyNumberFormat="1" applyFill="1" applyBorder="1" applyAlignment="1">
      <alignment horizontal="center" vertical="center"/>
    </xf>
    <xf numFmtId="9" fontId="0" fillId="16" borderId="6" xfId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center" vertical="center"/>
    </xf>
    <xf numFmtId="9" fontId="0" fillId="21" borderId="1" xfId="1" applyFont="1" applyFill="1" applyBorder="1" applyAlignment="1">
      <alignment horizontal="center" vertical="center"/>
    </xf>
    <xf numFmtId="1" fontId="0" fillId="21" borderId="1" xfId="0" applyNumberFormat="1" applyFill="1" applyBorder="1" applyAlignment="1">
      <alignment horizontal="center" vertical="center"/>
    </xf>
    <xf numFmtId="9" fontId="0" fillId="18" borderId="1" xfId="1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 vertical="center"/>
    </xf>
    <xf numFmtId="2" fontId="0" fillId="18" borderId="1" xfId="1" applyNumberFormat="1" applyFont="1" applyFill="1" applyBorder="1" applyAlignment="1">
      <alignment horizontal="center" vertical="center"/>
    </xf>
    <xf numFmtId="2" fontId="0" fillId="19" borderId="6" xfId="0" applyNumberFormat="1" applyFill="1" applyBorder="1" applyAlignment="1">
      <alignment horizontal="center" vertical="center"/>
    </xf>
    <xf numFmtId="9" fontId="0" fillId="19" borderId="6" xfId="1" applyFont="1" applyFill="1" applyBorder="1" applyAlignment="1">
      <alignment horizontal="center" vertical="center"/>
    </xf>
    <xf numFmtId="1" fontId="0" fillId="19" borderId="6" xfId="0" applyNumberForma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22" fillId="23" borderId="0" xfId="0" applyFont="1" applyFill="1" applyAlignment="1"/>
    <xf numFmtId="2" fontId="0" fillId="0" borderId="0" xfId="0" applyNumberFormat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 2" xfId="2" xr:uid="{E6E194FE-632F-49C3-9448-512A67A29214}"/>
    <cellStyle name="Normal" xfId="0" builtinId="0"/>
    <cellStyle name="Per cent" xfId="1" builtinId="5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000"/>
    </dxf>
    <dxf>
      <numFmt numFmtId="2" formatCode="0.00"/>
    </dxf>
    <dxf>
      <numFmt numFmtId="164" formatCode="0.0000"/>
    </dxf>
    <dxf>
      <numFmt numFmtId="14" formatCode="0.00%"/>
    </dxf>
    <dxf>
      <numFmt numFmtId="164" formatCode="0.0000"/>
    </dxf>
    <dxf>
      <numFmt numFmtId="171" formatCode="0.000"/>
    </dxf>
  </dxfs>
  <tableStyles count="0" defaultTableStyle="TableStyleMedium9" defaultPivotStyle="PivotStyleLight16"/>
  <colors>
    <mruColors>
      <color rgb="FFB8CCE4"/>
      <color rgb="FF50805D"/>
      <color rgb="FFCBD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069-46AD-9689-BF64B169CD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069-46AD-9689-BF64B169C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FFB-40FE-B085-85E45C766206}"/>
            </c:ext>
          </c:extLst>
        </c:ser>
        <c:ser>
          <c:idx val="4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069-46AD-9689-BF64B169CD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069-46AD-9689-BF64B169C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FFB-40FE-B085-85E45C766206}"/>
            </c:ext>
          </c:extLst>
        </c:ser>
        <c:ser>
          <c:idx val="5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069-46AD-9689-BF64B169CD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9069-46AD-9689-BF64B169C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FB-40FE-B085-85E45C766206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BFFB-40FE-B085-85E45C7662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BFFB-40FE-B085-85E45C7662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FB-40FE-B085-85E45C766206}"/>
            </c:ext>
          </c:extLst>
        </c:ser>
        <c:ser>
          <c:idx val="1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C-BFFB-40FE-B085-85E45C7662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E-BFFB-40FE-B085-85E45C7662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FFB-40FE-B085-85E45C766206}"/>
            </c:ext>
          </c:extLst>
        </c:ser>
        <c:ser>
          <c:idx val="2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BFFB-40FE-B085-85E45C7662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4-BFFB-40FE-B085-85E45C7662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FFB-40FE-B085-85E45C7662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Personas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'Tablas Cualitativas'!$C$5:$C$6</c:f>
              <c:strCache>
                <c:ptCount val="2"/>
                <c:pt idx="0">
                  <c:v>No sobrevivientes</c:v>
                </c:pt>
                <c:pt idx="1">
                  <c:v>Sobrevivientes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5-4967-A438-781697C2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501103"/>
        <c:axId val="1360513103"/>
      </c:barChart>
      <c:catAx>
        <c:axId val="136050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13103"/>
        <c:crosses val="autoZero"/>
        <c:auto val="1"/>
        <c:lblAlgn val="ctr"/>
        <c:lblOffset val="100"/>
        <c:noMultiLvlLbl val="0"/>
      </c:catAx>
      <c:valAx>
        <c:axId val="1360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7B9-4887-90E4-91BCB7B0F5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495-4788-8094-5522D5FC9D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Cualitativas'!$V$5:$V$7</c:f>
              <c:numCache>
                <c:formatCode>0.00%</c:formatCode>
                <c:ptCount val="3"/>
                <c:pt idx="0">
                  <c:v>0.24071991001124859</c:v>
                </c:pt>
                <c:pt idx="1">
                  <c:v>0.20697412823397077</c:v>
                </c:pt>
                <c:pt idx="2">
                  <c:v>0.55230596175478064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9-4887-90E4-91BCB7B0F540}"/>
            </c:ext>
          </c:extLst>
        </c:ser>
        <c:ser>
          <c:idx val="4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E7B9-4887-90E4-91BCB7B0F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B9-4887-90E4-91BCB7B0F540}"/>
            </c:ext>
          </c:extLst>
        </c:ser>
        <c:ser>
          <c:idx val="5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7B9-4887-90E4-91BCB7B0F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B9-4887-90E4-91BCB7B0F540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0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E7B9-4887-90E4-91BCB7B0F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7B9-4887-90E4-91BCB7B0F540}"/>
            </c:ext>
          </c:extLst>
        </c:ser>
        <c:ser>
          <c:idx val="1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7B9-4887-90E4-91BCB7B0F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B9-4887-90E4-91BCB7B0F540}"/>
            </c:ext>
          </c:extLst>
        </c:ser>
        <c:ser>
          <c:idx val="2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A-E7B9-4887-90E4-91BCB7B0F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E7B9-4887-90E4-91BCB7B0F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7B9-4887-90E4-91BCB7B0F5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Personas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'Tablas Cualitativas'!$R$5:$R$7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'Tablas Cualitativas'!$T$5:$T$7</c:f>
              <c:numCache>
                <c:formatCode>General</c:formatCode>
                <c:ptCount val="3"/>
                <c:pt idx="0">
                  <c:v>214</c:v>
                </c:pt>
                <c:pt idx="1">
                  <c:v>184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A-4272-BFCE-D63349B3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501103"/>
        <c:axId val="1360513103"/>
      </c:barChart>
      <c:catAx>
        <c:axId val="136050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13103"/>
        <c:crosses val="autoZero"/>
        <c:auto val="1"/>
        <c:lblAlgn val="ctr"/>
        <c:lblOffset val="100"/>
        <c:noMultiLvlLbl val="0"/>
      </c:catAx>
      <c:valAx>
        <c:axId val="1360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Personas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Cualitativas'!$AI$5:$AI$6</c:f>
              <c:numCache>
                <c:formatCode>General</c:formatCode>
                <c:ptCount val="2"/>
                <c:pt idx="0">
                  <c:v>312</c:v>
                </c:pt>
                <c:pt idx="1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8-49B5-B880-91D18252C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501103"/>
        <c:axId val="1360513103"/>
      </c:barChart>
      <c:catAx>
        <c:axId val="136050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13103"/>
        <c:crosses val="autoZero"/>
        <c:auto val="1"/>
        <c:lblAlgn val="ctr"/>
        <c:lblOffset val="100"/>
        <c:noMultiLvlLbl val="0"/>
      </c:catAx>
      <c:valAx>
        <c:axId val="1360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tx>
            <c:v>porcentajes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132-4F22-81C1-4DCEF4A640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Cualitativas'!$AK$5:$AK$6</c:f>
              <c:numCache>
                <c:formatCode>0.00%</c:formatCode>
                <c:ptCount val="2"/>
                <c:pt idx="0">
                  <c:v>0.35095613048368957</c:v>
                </c:pt>
                <c:pt idx="1">
                  <c:v>0.64904386951631043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32-4F22-81C1-4DCEF4A64084}"/>
            </c:ext>
          </c:extLst>
        </c:ser>
        <c:ser>
          <c:idx val="4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32-4F22-81C1-4DCEF4A64084}"/>
            </c:ext>
          </c:extLst>
        </c:ser>
        <c:ser>
          <c:idx val="5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132-4F22-81C1-4DCEF4A64084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4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132-4F22-81C1-4DCEF4A64084}"/>
            </c:ext>
          </c:extLst>
        </c:ser>
        <c:ser>
          <c:idx val="1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32-4F22-81C1-4DCEF4A64084}"/>
            </c:ext>
          </c:extLst>
        </c:ser>
        <c:ser>
          <c:idx val="2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3132-4F22-81C1-4DCEF4A640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3132-4F22-81C1-4DCEF4A64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Cualitativas'!$AG$5:$AG$6</c:f>
              <c:strCache>
                <c:ptCount val="2"/>
                <c:pt idx="0">
                  <c:v>Damas</c:v>
                </c:pt>
                <c:pt idx="1">
                  <c:v>Varones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132-4F22-81C1-4DCEF4A640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86D-4D3A-95AA-304A1EA7B5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Cualitativas'!$AZ$5:$AZ$7</c:f>
              <c:numCache>
                <c:formatCode>General</c:formatCode>
                <c:ptCount val="3"/>
                <c:pt idx="0">
                  <c:v>77</c:v>
                </c:pt>
                <c:pt idx="1">
                  <c:v>168</c:v>
                </c:pt>
                <c:pt idx="2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6D-4D3A-95AA-304A1EA7B5AE}"/>
            </c:ext>
          </c:extLst>
        </c:ser>
        <c:ser>
          <c:idx val="4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6D-4D3A-95AA-304A1EA7B5AE}"/>
            </c:ext>
          </c:extLst>
        </c:ser>
        <c:ser>
          <c:idx val="5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6D-4D3A-95AA-304A1EA7B5AE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4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86D-4D3A-95AA-304A1EA7B5AE}"/>
            </c:ext>
          </c:extLst>
        </c:ser>
        <c:ser>
          <c:idx val="1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86D-4D3A-95AA-304A1EA7B5AE}"/>
            </c:ext>
          </c:extLst>
        </c:ser>
        <c:ser>
          <c:idx val="2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286D-4D3A-95AA-304A1EA7B5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286D-4D3A-95AA-304A1EA7B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86D-4D3A-95AA-304A1EA7B5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Personas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'Tablas Cualitativas'!$AX$5:$AX$7</c:f>
              <c:strCache>
                <c:ptCount val="3"/>
                <c:pt idx="0">
                  <c:v>Queenstown</c:v>
                </c:pt>
                <c:pt idx="1">
                  <c:v>Cherbourg</c:v>
                </c:pt>
                <c:pt idx="2">
                  <c:v>Southampton</c:v>
                </c:pt>
              </c:strCache>
            </c:strRef>
          </c:cat>
          <c:val>
            <c:numRef>
              <c:f>'Tablas Cualitativas'!$AZ$5:$AZ$7</c:f>
              <c:numCache>
                <c:formatCode>General</c:formatCode>
                <c:ptCount val="3"/>
                <c:pt idx="0">
                  <c:v>77</c:v>
                </c:pt>
                <c:pt idx="1">
                  <c:v>168</c:v>
                </c:pt>
                <c:pt idx="2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0-4DE6-AE2C-0BBB06D0F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501103"/>
        <c:axId val="1360513103"/>
      </c:barChart>
      <c:catAx>
        <c:axId val="136050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13103"/>
        <c:crosses val="autoZero"/>
        <c:auto val="1"/>
        <c:lblAlgn val="ctr"/>
        <c:lblOffset val="100"/>
        <c:noMultiLvlLbl val="0"/>
      </c:catAx>
      <c:valAx>
        <c:axId val="1360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'Estadísticos Descriptivos'!$E$9:$E$20</c:f>
              <c:strCache>
                <c:ptCount val="12"/>
                <c:pt idx="0">
                  <c:v>0 - 6</c:v>
                </c:pt>
                <c:pt idx="1">
                  <c:v>7 - 13</c:v>
                </c:pt>
                <c:pt idx="2">
                  <c:v>14 - 20</c:v>
                </c:pt>
                <c:pt idx="3">
                  <c:v>21 - 27</c:v>
                </c:pt>
                <c:pt idx="4">
                  <c:v>28 - 34</c:v>
                </c:pt>
                <c:pt idx="5">
                  <c:v>35 - 41</c:v>
                </c:pt>
                <c:pt idx="6">
                  <c:v>42 - 48</c:v>
                </c:pt>
                <c:pt idx="7">
                  <c:v>49 - 55</c:v>
                </c:pt>
                <c:pt idx="8">
                  <c:v>56 - 62</c:v>
                </c:pt>
                <c:pt idx="9">
                  <c:v>63 - 69</c:v>
                </c:pt>
                <c:pt idx="10">
                  <c:v>70 - 76</c:v>
                </c:pt>
                <c:pt idx="11">
                  <c:v>77 - 83</c:v>
                </c:pt>
              </c:strCache>
            </c:strRef>
          </c:cat>
          <c:val>
            <c:numRef>
              <c:f>'Estadísticos Descriptivos'!$F$9:$F$20</c:f>
              <c:numCache>
                <c:formatCode>General</c:formatCode>
                <c:ptCount val="12"/>
                <c:pt idx="0">
                  <c:v>47</c:v>
                </c:pt>
                <c:pt idx="1">
                  <c:v>24</c:v>
                </c:pt>
                <c:pt idx="2">
                  <c:v>108</c:v>
                </c:pt>
                <c:pt idx="3">
                  <c:v>158</c:v>
                </c:pt>
                <c:pt idx="4">
                  <c:v>318</c:v>
                </c:pt>
                <c:pt idx="5">
                  <c:v>93</c:v>
                </c:pt>
                <c:pt idx="6">
                  <c:v>62</c:v>
                </c:pt>
                <c:pt idx="7">
                  <c:v>40</c:v>
                </c:pt>
                <c:pt idx="8">
                  <c:v>24</c:v>
                </c:pt>
                <c:pt idx="9">
                  <c:v>8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1-4C2B-B107-84830236B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567322479"/>
        <c:axId val="1567326319"/>
      </c:bar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'Estadísticos Descriptivos'!$O$9:$O$20</c:f>
              <c:numCache>
                <c:formatCode>0.0</c:formatCode>
                <c:ptCount val="12"/>
                <c:pt idx="0">
                  <c:v>3.42</c:v>
                </c:pt>
                <c:pt idx="1">
                  <c:v>10.42</c:v>
                </c:pt>
                <c:pt idx="2">
                  <c:v>17.420000000000002</c:v>
                </c:pt>
                <c:pt idx="3">
                  <c:v>24.42</c:v>
                </c:pt>
                <c:pt idx="4">
                  <c:v>31.42</c:v>
                </c:pt>
                <c:pt idx="5">
                  <c:v>38.42</c:v>
                </c:pt>
                <c:pt idx="6">
                  <c:v>45.42</c:v>
                </c:pt>
                <c:pt idx="7">
                  <c:v>52.42</c:v>
                </c:pt>
                <c:pt idx="8">
                  <c:v>59.42</c:v>
                </c:pt>
                <c:pt idx="9">
                  <c:v>66.42</c:v>
                </c:pt>
                <c:pt idx="10">
                  <c:v>73.42</c:v>
                </c:pt>
                <c:pt idx="11">
                  <c:v>80.42</c:v>
                </c:pt>
              </c:numCache>
            </c:numRef>
          </c:cat>
          <c:val>
            <c:numRef>
              <c:f>'Estadísticos Descriptivos'!$F$9:$F$20</c:f>
              <c:numCache>
                <c:formatCode>General</c:formatCode>
                <c:ptCount val="12"/>
                <c:pt idx="0">
                  <c:v>47</c:v>
                </c:pt>
                <c:pt idx="1">
                  <c:v>24</c:v>
                </c:pt>
                <c:pt idx="2">
                  <c:v>108</c:v>
                </c:pt>
                <c:pt idx="3">
                  <c:v>158</c:v>
                </c:pt>
                <c:pt idx="4">
                  <c:v>318</c:v>
                </c:pt>
                <c:pt idx="5">
                  <c:v>93</c:v>
                </c:pt>
                <c:pt idx="6">
                  <c:v>62</c:v>
                </c:pt>
                <c:pt idx="7">
                  <c:v>40</c:v>
                </c:pt>
                <c:pt idx="8">
                  <c:v>24</c:v>
                </c:pt>
                <c:pt idx="9">
                  <c:v>8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C-4066-AD34-96AECD04E7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15E-4D65-8761-F03658EDA3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15E-4D65-8761-F03658EDA3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15E-4D65-8761-F03658EDA3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15E-4D65-8761-F03658EDA3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C15E-4D65-8761-F03658EDA3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C15E-4D65-8761-F03658EDA33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C15E-4D65-8761-F03658EDA33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C15E-4D65-8761-F03658EDA33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C15E-4D65-8761-F03658EDA33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C15E-4D65-8761-F03658EDA33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C15E-4D65-8761-F03658EDA33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C15E-4D65-8761-F03658EDA3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Descriptivos'!$E$9:$E$20</c:f>
              <c:strCache>
                <c:ptCount val="12"/>
                <c:pt idx="0">
                  <c:v>0 - 6</c:v>
                </c:pt>
                <c:pt idx="1">
                  <c:v>7 - 13</c:v>
                </c:pt>
                <c:pt idx="2">
                  <c:v>14 - 20</c:v>
                </c:pt>
                <c:pt idx="3">
                  <c:v>21 - 27</c:v>
                </c:pt>
                <c:pt idx="4">
                  <c:v>28 - 34</c:v>
                </c:pt>
                <c:pt idx="5">
                  <c:v>35 - 41</c:v>
                </c:pt>
                <c:pt idx="6">
                  <c:v>42 - 48</c:v>
                </c:pt>
                <c:pt idx="7">
                  <c:v>49 - 55</c:v>
                </c:pt>
                <c:pt idx="8">
                  <c:v>56 - 62</c:v>
                </c:pt>
                <c:pt idx="9">
                  <c:v>63 - 69</c:v>
                </c:pt>
                <c:pt idx="10">
                  <c:v>70 - 76</c:v>
                </c:pt>
                <c:pt idx="11">
                  <c:v>77 - 83</c:v>
                </c:pt>
              </c:strCache>
            </c:strRef>
          </c:cat>
          <c:val>
            <c:numRef>
              <c:f>'Estadísticos Descriptivos'!$F$9:$F$20</c:f>
              <c:numCache>
                <c:formatCode>General</c:formatCode>
                <c:ptCount val="12"/>
                <c:pt idx="0">
                  <c:v>47</c:v>
                </c:pt>
                <c:pt idx="1">
                  <c:v>24</c:v>
                </c:pt>
                <c:pt idx="2">
                  <c:v>108</c:v>
                </c:pt>
                <c:pt idx="3">
                  <c:v>158</c:v>
                </c:pt>
                <c:pt idx="4">
                  <c:v>318</c:v>
                </c:pt>
                <c:pt idx="5">
                  <c:v>93</c:v>
                </c:pt>
                <c:pt idx="6">
                  <c:v>62</c:v>
                </c:pt>
                <c:pt idx="7">
                  <c:v>40</c:v>
                </c:pt>
                <c:pt idx="8">
                  <c:v>24</c:v>
                </c:pt>
                <c:pt idx="9">
                  <c:v>8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15E-4D65-8761-F03658EDA3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'Estadísticos Descriptivos'!$O$9:$O$20</c:f>
              <c:numCache>
                <c:formatCode>0.0</c:formatCode>
                <c:ptCount val="12"/>
                <c:pt idx="0">
                  <c:v>3.42</c:v>
                </c:pt>
                <c:pt idx="1">
                  <c:v>10.42</c:v>
                </c:pt>
                <c:pt idx="2">
                  <c:v>17.420000000000002</c:v>
                </c:pt>
                <c:pt idx="3">
                  <c:v>24.42</c:v>
                </c:pt>
                <c:pt idx="4">
                  <c:v>31.42</c:v>
                </c:pt>
                <c:pt idx="5">
                  <c:v>38.42</c:v>
                </c:pt>
                <c:pt idx="6">
                  <c:v>45.42</c:v>
                </c:pt>
                <c:pt idx="7">
                  <c:v>52.42</c:v>
                </c:pt>
                <c:pt idx="8">
                  <c:v>59.42</c:v>
                </c:pt>
                <c:pt idx="9">
                  <c:v>66.42</c:v>
                </c:pt>
                <c:pt idx="10">
                  <c:v>73.42</c:v>
                </c:pt>
                <c:pt idx="11">
                  <c:v>80.42</c:v>
                </c:pt>
              </c:numCache>
            </c:numRef>
          </c:cat>
          <c:val>
            <c:numRef>
              <c:f>'Estadísticos Descriptivos'!$I$9:$I$20</c:f>
              <c:numCache>
                <c:formatCode>General</c:formatCode>
                <c:ptCount val="12"/>
                <c:pt idx="0">
                  <c:v>47</c:v>
                </c:pt>
                <c:pt idx="1">
                  <c:v>71</c:v>
                </c:pt>
                <c:pt idx="2">
                  <c:v>179</c:v>
                </c:pt>
                <c:pt idx="3">
                  <c:v>337</c:v>
                </c:pt>
                <c:pt idx="4">
                  <c:v>655</c:v>
                </c:pt>
                <c:pt idx="5">
                  <c:v>748</c:v>
                </c:pt>
                <c:pt idx="6">
                  <c:v>810</c:v>
                </c:pt>
                <c:pt idx="7">
                  <c:v>850</c:v>
                </c:pt>
                <c:pt idx="8">
                  <c:v>874</c:v>
                </c:pt>
                <c:pt idx="9">
                  <c:v>882</c:v>
                </c:pt>
                <c:pt idx="10">
                  <c:v>888</c:v>
                </c:pt>
                <c:pt idx="11">
                  <c:v>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7-403B-B043-D808AD1244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'Estadísticos Descriptivos'!$O$9:$O$20</c:f>
              <c:numCache>
                <c:formatCode>0.0</c:formatCode>
                <c:ptCount val="12"/>
                <c:pt idx="0">
                  <c:v>3.42</c:v>
                </c:pt>
                <c:pt idx="1">
                  <c:v>10.42</c:v>
                </c:pt>
                <c:pt idx="2">
                  <c:v>17.420000000000002</c:v>
                </c:pt>
                <c:pt idx="3">
                  <c:v>24.42</c:v>
                </c:pt>
                <c:pt idx="4">
                  <c:v>31.42</c:v>
                </c:pt>
                <c:pt idx="5">
                  <c:v>38.42</c:v>
                </c:pt>
                <c:pt idx="6">
                  <c:v>45.42</c:v>
                </c:pt>
                <c:pt idx="7">
                  <c:v>52.42</c:v>
                </c:pt>
                <c:pt idx="8">
                  <c:v>59.42</c:v>
                </c:pt>
                <c:pt idx="9">
                  <c:v>66.42</c:v>
                </c:pt>
                <c:pt idx="10">
                  <c:v>73.42</c:v>
                </c:pt>
                <c:pt idx="11">
                  <c:v>80.42</c:v>
                </c:pt>
              </c:numCache>
            </c:numRef>
          </c:cat>
          <c:val>
            <c:numRef>
              <c:f>'Estadísticos Descriptivos'!$L$9:$L$20</c:f>
              <c:numCache>
                <c:formatCode>General</c:formatCode>
                <c:ptCount val="12"/>
                <c:pt idx="0">
                  <c:v>889</c:v>
                </c:pt>
                <c:pt idx="1">
                  <c:v>842</c:v>
                </c:pt>
                <c:pt idx="2">
                  <c:v>818</c:v>
                </c:pt>
                <c:pt idx="3">
                  <c:v>710</c:v>
                </c:pt>
                <c:pt idx="4">
                  <c:v>552</c:v>
                </c:pt>
                <c:pt idx="5">
                  <c:v>234</c:v>
                </c:pt>
                <c:pt idx="6">
                  <c:v>141</c:v>
                </c:pt>
                <c:pt idx="7">
                  <c:v>79</c:v>
                </c:pt>
                <c:pt idx="8">
                  <c:v>39</c:v>
                </c:pt>
                <c:pt idx="9">
                  <c:v>15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C-44BC-938F-2E2302B695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'Estadísticos Descriptivos'!$AM$9:$AM$19</c15:sqref>
                  </c15:fullRef>
                </c:ext>
              </c:extLst>
              <c:f>('Estadísticos Descriptivos'!$AM$9:$AM$14,'Estadísticos Descriptivos'!$AM$19)</c:f>
              <c:strCache>
                <c:ptCount val="7"/>
                <c:pt idx="0">
                  <c:v>0 - 46</c:v>
                </c:pt>
                <c:pt idx="1">
                  <c:v>47 - 93</c:v>
                </c:pt>
                <c:pt idx="2">
                  <c:v>94 - 140</c:v>
                </c:pt>
                <c:pt idx="3">
                  <c:v>141 - 187</c:v>
                </c:pt>
                <c:pt idx="4">
                  <c:v>188 - 234</c:v>
                </c:pt>
                <c:pt idx="5">
                  <c:v>235 - 281</c:v>
                </c:pt>
                <c:pt idx="6">
                  <c:v>470 - 516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'Estadísticos Descriptivos'!$AN$9:$AN$19</c15:sqref>
                  </c15:fullRef>
                </c:ext>
              </c:extLst>
              <c:f>('Estadísticos Descriptivos'!$AN$9:$AN$14,'Estadísticos Descriptivos'!$AN$19)</c:f>
              <c:numCache>
                <c:formatCode>General</c:formatCode>
                <c:ptCount val="7"/>
                <c:pt idx="0">
                  <c:v>720</c:v>
                </c:pt>
                <c:pt idx="1">
                  <c:v>114</c:v>
                </c:pt>
                <c:pt idx="2">
                  <c:v>24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7-408B-8054-E671971D57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567322479"/>
        <c:axId val="1567326319"/>
      </c:bar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'Estadísticos Descriptivos'!$AW$9:$AW$19</c15:sqref>
                  </c15:fullRef>
                </c:ext>
              </c:extLst>
              <c:f>('Estadísticos Descriptivos'!$AW$9:$AW$14,'Estadísticos Descriptivos'!$AW$19)</c:f>
              <c:numCache>
                <c:formatCode>0.0</c:formatCode>
                <c:ptCount val="7"/>
                <c:pt idx="0">
                  <c:v>23</c:v>
                </c:pt>
                <c:pt idx="1">
                  <c:v>70</c:v>
                </c:pt>
                <c:pt idx="2">
                  <c:v>117</c:v>
                </c:pt>
                <c:pt idx="3">
                  <c:v>164</c:v>
                </c:pt>
                <c:pt idx="4">
                  <c:v>211</c:v>
                </c:pt>
                <c:pt idx="5">
                  <c:v>258</c:v>
                </c:pt>
                <c:pt idx="6">
                  <c:v>493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'Estadísticos Descriptivos'!$AN$9:$AN$19</c15:sqref>
                  </c15:fullRef>
                </c:ext>
              </c:extLst>
              <c:f>('Estadísticos Descriptivos'!$AN$9:$AN$14,'Estadísticos Descriptivos'!$AN$19)</c:f>
              <c:numCache>
                <c:formatCode>General</c:formatCode>
                <c:ptCount val="7"/>
                <c:pt idx="0">
                  <c:v>720</c:v>
                </c:pt>
                <c:pt idx="1">
                  <c:v>114</c:v>
                </c:pt>
                <c:pt idx="2">
                  <c:v>24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1-4683-8118-3C4020892F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FA9-4F03-AE06-0CF67B8879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FA9-4F03-AE06-0CF67B8879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FA9-4F03-AE06-0CF67B8879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FA9-4F03-AE06-0CF67B8879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FA9-4F03-AE06-0CF67B8879E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FA9-4F03-AE06-0CF67B8879E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FA9-4F03-AE06-0CF67B8879E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FA9-4F03-AE06-0CF67B8879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'Estadísticos Descriptivos'!$AM$9:$AM$19</c15:sqref>
                  </c15:fullRef>
                </c:ext>
              </c:extLst>
              <c:f>('Estadísticos Descriptivos'!$AM$9:$AM$14,'Estadísticos Descriptivos'!$AM$19)</c:f>
              <c:strCache>
                <c:ptCount val="7"/>
                <c:pt idx="0">
                  <c:v>0 - 46</c:v>
                </c:pt>
                <c:pt idx="1">
                  <c:v>47 - 93</c:v>
                </c:pt>
                <c:pt idx="2">
                  <c:v>94 - 140</c:v>
                </c:pt>
                <c:pt idx="3">
                  <c:v>141 - 187</c:v>
                </c:pt>
                <c:pt idx="4">
                  <c:v>188 - 234</c:v>
                </c:pt>
                <c:pt idx="5">
                  <c:v>235 - 281</c:v>
                </c:pt>
                <c:pt idx="6">
                  <c:v>470 - 516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'Estadísticos Descriptivos'!$AN$9:$AN$19</c15:sqref>
                  </c15:fullRef>
                </c:ext>
              </c:extLst>
              <c:f>('Estadísticos Descriptivos'!$AN$9:$AN$14,'Estadísticos Descriptivos'!$AN$19)</c:f>
              <c:numCache>
                <c:formatCode>General</c:formatCode>
                <c:ptCount val="7"/>
                <c:pt idx="0">
                  <c:v>720</c:v>
                </c:pt>
                <c:pt idx="1">
                  <c:v>114</c:v>
                </c:pt>
                <c:pt idx="2">
                  <c:v>24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'Estadísticos Descriptivos'!$AN$16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  <c15:categoryFilterException>
                  <c15:sqref>'Estadísticos Descriptivos'!$AN$17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3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3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3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  <c15:categoryFilterException>
                  <c15:sqref>'Estadísticos Descriptivos'!$AN$18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4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4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0-FFA9-4F03-AE06-0CF67B8879E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'Estadísticos Descriptivos'!$AW$9:$AW$19</c:f>
              <c:numCache>
                <c:formatCode>0.0</c:formatCode>
                <c:ptCount val="11"/>
                <c:pt idx="0">
                  <c:v>23</c:v>
                </c:pt>
                <c:pt idx="1">
                  <c:v>70</c:v>
                </c:pt>
                <c:pt idx="2">
                  <c:v>117</c:v>
                </c:pt>
                <c:pt idx="3">
                  <c:v>164</c:v>
                </c:pt>
                <c:pt idx="4">
                  <c:v>211</c:v>
                </c:pt>
                <c:pt idx="5">
                  <c:v>258</c:v>
                </c:pt>
                <c:pt idx="6">
                  <c:v>305</c:v>
                </c:pt>
                <c:pt idx="7">
                  <c:v>352</c:v>
                </c:pt>
                <c:pt idx="8">
                  <c:v>399</c:v>
                </c:pt>
                <c:pt idx="9">
                  <c:v>446</c:v>
                </c:pt>
                <c:pt idx="10">
                  <c:v>493</c:v>
                </c:pt>
              </c:numCache>
            </c:numRef>
          </c:cat>
          <c:val>
            <c:numRef>
              <c:f>'Estadísticos Descriptivos'!$AQ$9:$AQ$19</c:f>
              <c:numCache>
                <c:formatCode>General</c:formatCode>
                <c:ptCount val="11"/>
                <c:pt idx="0">
                  <c:v>720</c:v>
                </c:pt>
                <c:pt idx="1">
                  <c:v>834</c:v>
                </c:pt>
                <c:pt idx="2">
                  <c:v>858</c:v>
                </c:pt>
                <c:pt idx="3">
                  <c:v>869</c:v>
                </c:pt>
                <c:pt idx="4">
                  <c:v>878</c:v>
                </c:pt>
                <c:pt idx="5">
                  <c:v>886</c:v>
                </c:pt>
                <c:pt idx="6">
                  <c:v>886</c:v>
                </c:pt>
                <c:pt idx="7">
                  <c:v>886</c:v>
                </c:pt>
                <c:pt idx="8">
                  <c:v>886</c:v>
                </c:pt>
                <c:pt idx="9">
                  <c:v>886</c:v>
                </c:pt>
                <c:pt idx="10">
                  <c:v>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0-4BCD-9302-CE42175CE8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'Estadísticos Descriptivos'!$AW$9:$AW$19</c:f>
              <c:numCache>
                <c:formatCode>0.0</c:formatCode>
                <c:ptCount val="11"/>
                <c:pt idx="0">
                  <c:v>23</c:v>
                </c:pt>
                <c:pt idx="1">
                  <c:v>70</c:v>
                </c:pt>
                <c:pt idx="2">
                  <c:v>117</c:v>
                </c:pt>
                <c:pt idx="3">
                  <c:v>164</c:v>
                </c:pt>
                <c:pt idx="4">
                  <c:v>211</c:v>
                </c:pt>
                <c:pt idx="5">
                  <c:v>258</c:v>
                </c:pt>
                <c:pt idx="6">
                  <c:v>305</c:v>
                </c:pt>
                <c:pt idx="7">
                  <c:v>352</c:v>
                </c:pt>
                <c:pt idx="8">
                  <c:v>399</c:v>
                </c:pt>
                <c:pt idx="9">
                  <c:v>446</c:v>
                </c:pt>
                <c:pt idx="10">
                  <c:v>493</c:v>
                </c:pt>
              </c:numCache>
            </c:numRef>
          </c:cat>
          <c:val>
            <c:numRef>
              <c:f>'Estadísticos Descriptivos'!$AT$9:$AT$19</c:f>
              <c:numCache>
                <c:formatCode>General</c:formatCode>
                <c:ptCount val="11"/>
                <c:pt idx="0">
                  <c:v>889</c:v>
                </c:pt>
                <c:pt idx="1">
                  <c:v>169</c:v>
                </c:pt>
                <c:pt idx="2">
                  <c:v>55</c:v>
                </c:pt>
                <c:pt idx="3">
                  <c:v>31</c:v>
                </c:pt>
                <c:pt idx="4">
                  <c:v>20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F-4087-80B1-920CE8CE3D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7322479"/>
        <c:axId val="1567326319"/>
      </c:lineChart>
      <c:catAx>
        <c:axId val="15673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EDADES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6319"/>
        <c:crosses val="autoZero"/>
        <c:auto val="1"/>
        <c:lblAlgn val="ctr"/>
        <c:lblOffset val="100"/>
        <c:noMultiLvlLbl val="0"/>
      </c:catAx>
      <c:valAx>
        <c:axId val="15673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F50-4C3F-840F-82F9C606DEF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F50-4C3F-840F-82F9C606DEF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F50-4C3F-840F-82F9C606DEF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F50-4C3F-840F-82F9C606DEF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F50-4C3F-840F-82F9C606DEF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'Estadísticos Descriptivos'!$BW$5:$BW$11</c:f>
              <c:numCache>
                <c:formatCode>0%</c:formatCode>
                <c:ptCount val="7"/>
                <c:pt idx="0">
                  <c:v>0.68166479190101237</c:v>
                </c:pt>
                <c:pt idx="1">
                  <c:v>0.23509561304836896</c:v>
                </c:pt>
                <c:pt idx="2">
                  <c:v>3.1496062992125984E-2</c:v>
                </c:pt>
                <c:pt idx="3">
                  <c:v>1.799775028121485E-2</c:v>
                </c:pt>
                <c:pt idx="4">
                  <c:v>2.0247469066366704E-2</c:v>
                </c:pt>
                <c:pt idx="5">
                  <c:v>5.6242969628796397E-3</c:v>
                </c:pt>
                <c:pt idx="6">
                  <c:v>7.874015748031496E-3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F50-4C3F-840F-82F9C606DEF6}"/>
            </c:ext>
          </c:extLst>
        </c:ser>
        <c:ser>
          <c:idx val="4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0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F50-4C3F-840F-82F9C606DEF6}"/>
            </c:ext>
          </c:extLst>
        </c:ser>
        <c:ser>
          <c:idx val="5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F50-4C3F-840F-82F9C606DEF6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A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'Tablas Cualitativas'!$E$5:$E$6</c:f>
              <c:numCache>
                <c:formatCode>General</c:formatCode>
                <c:ptCount val="2"/>
                <c:pt idx="0">
                  <c:v>549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F50-4C3F-840F-82F9C606DEF6}"/>
            </c:ext>
          </c:extLst>
        </c:ser>
        <c:ser>
          <c:idx val="1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'Tablas Cualitativas'!$F$5:$F$6</c:f>
              <c:numCache>
                <c:formatCode>0.00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F50-4C3F-840F-82F9C606DEF6}"/>
            </c:ext>
          </c:extLst>
        </c:ser>
        <c:ser>
          <c:idx val="2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EF50-4C3F-840F-82F9C606DE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EF50-4C3F-840F-82F9C606DE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'Tablas Cualitativas'!$G$5:$G$6</c:f>
              <c:numCache>
                <c:formatCode>0.00%</c:formatCode>
                <c:ptCount val="2"/>
                <c:pt idx="0">
                  <c:v>0.61754780652418451</c:v>
                </c:pt>
                <c:pt idx="1">
                  <c:v>0.38245219347581555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F50-4C3F-840F-82F9C606DEF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Personas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'Estadísticos Descriptivos'!$BS$5:$BS$11</c:f>
              <c:strCache>
                <c:ptCount val="7"/>
                <c:pt idx="0">
                  <c:v>Sin familiares a bordo</c:v>
                </c:pt>
                <c:pt idx="1">
                  <c:v>1 familiar</c:v>
                </c:pt>
                <c:pt idx="2">
                  <c:v>2 familiares</c:v>
                </c:pt>
                <c:pt idx="3">
                  <c:v>3 familiares</c:v>
                </c:pt>
                <c:pt idx="4">
                  <c:v>4 familiares</c:v>
                </c:pt>
                <c:pt idx="5">
                  <c:v>5 familiares</c:v>
                </c:pt>
                <c:pt idx="6">
                  <c:v>8 familiares</c:v>
                </c:pt>
              </c:strCache>
            </c:strRef>
          </c:cat>
          <c:val>
            <c:numRef>
              <c:f>'Estadísticos Descriptivos'!$BU$5:$BU$11</c:f>
              <c:numCache>
                <c:formatCode>General</c:formatCode>
                <c:ptCount val="7"/>
                <c:pt idx="0">
                  <c:v>606</c:v>
                </c:pt>
                <c:pt idx="1">
                  <c:v>209</c:v>
                </c:pt>
                <c:pt idx="2">
                  <c:v>28</c:v>
                </c:pt>
                <c:pt idx="3">
                  <c:v>16</c:v>
                </c:pt>
                <c:pt idx="4">
                  <c:v>18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C-4043-BB53-E7394D1741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0501103"/>
        <c:axId val="1360513103"/>
      </c:barChart>
      <c:catAx>
        <c:axId val="136050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13103"/>
        <c:crosses val="autoZero"/>
        <c:auto val="1"/>
        <c:lblAlgn val="ctr"/>
        <c:lblOffset val="100"/>
        <c:noMultiLvlLbl val="0"/>
      </c:catAx>
      <c:valAx>
        <c:axId val="1360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image" Target="../media/image5.png"/><Relationship Id="rId7" Type="http://schemas.openxmlformats.org/officeDocument/2006/relationships/chart" Target="../charts/chart12.xml"/><Relationship Id="rId12" Type="http://schemas.openxmlformats.org/officeDocument/2006/relationships/image" Target="../media/image9.png"/><Relationship Id="rId17" Type="http://schemas.openxmlformats.org/officeDocument/2006/relationships/chart" Target="../charts/chart18.xml"/><Relationship Id="rId2" Type="http://schemas.openxmlformats.org/officeDocument/2006/relationships/image" Target="../media/image4.png"/><Relationship Id="rId16" Type="http://schemas.openxmlformats.org/officeDocument/2006/relationships/chart" Target="../charts/chart17.xml"/><Relationship Id="rId1" Type="http://schemas.openxmlformats.org/officeDocument/2006/relationships/image" Target="../media/image3.png"/><Relationship Id="rId6" Type="http://schemas.openxmlformats.org/officeDocument/2006/relationships/chart" Target="../charts/chart11.xml"/><Relationship Id="rId11" Type="http://schemas.openxmlformats.org/officeDocument/2006/relationships/image" Target="../media/image8.png"/><Relationship Id="rId5" Type="http://schemas.openxmlformats.org/officeDocument/2006/relationships/chart" Target="../charts/chart10.xml"/><Relationship Id="rId15" Type="http://schemas.openxmlformats.org/officeDocument/2006/relationships/chart" Target="../charts/chart16.xml"/><Relationship Id="rId10" Type="http://schemas.openxmlformats.org/officeDocument/2006/relationships/image" Target="../media/image7.png"/><Relationship Id="rId19" Type="http://schemas.openxmlformats.org/officeDocument/2006/relationships/chart" Target="../charts/chart20.xml"/><Relationship Id="rId4" Type="http://schemas.openxmlformats.org/officeDocument/2006/relationships/chart" Target="../charts/chart9.xml"/><Relationship Id="rId9" Type="http://schemas.openxmlformats.org/officeDocument/2006/relationships/image" Target="../media/image6.png"/><Relationship Id="rId14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17</xdr:row>
      <xdr:rowOff>31418</xdr:rowOff>
    </xdr:from>
    <xdr:to>
      <xdr:col>8</xdr:col>
      <xdr:colOff>12370</xdr:colOff>
      <xdr:row>28</xdr:row>
      <xdr:rowOff>160810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13259A-D062-D0FB-CC09-04BFCEEAF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21029</xdr:colOff>
      <xdr:row>35</xdr:row>
      <xdr:rowOff>20040</xdr:rowOff>
    </xdr:from>
    <xdr:to>
      <xdr:col>7</xdr:col>
      <xdr:colOff>593766</xdr:colOff>
      <xdr:row>47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EC7684-577C-EA5B-321C-2C826FEFD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22</xdr:col>
      <xdr:colOff>329497</xdr:colOff>
      <xdr:row>29</xdr:row>
      <xdr:rowOff>129392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B4737A-CB9F-43ED-B5BD-02183E41C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36</xdr:row>
      <xdr:rowOff>0</xdr:rowOff>
    </xdr:from>
    <xdr:to>
      <xdr:col>22</xdr:col>
      <xdr:colOff>303796</xdr:colOff>
      <xdr:row>47</xdr:row>
      <xdr:rowOff>170460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D8C85D-F3D5-4929-AFC1-4D23BE53C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21029</xdr:colOff>
      <xdr:row>36</xdr:row>
      <xdr:rowOff>20040</xdr:rowOff>
    </xdr:from>
    <xdr:to>
      <xdr:col>37</xdr:col>
      <xdr:colOff>593766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A0F50-A0E9-4070-996C-792D09381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18</xdr:row>
      <xdr:rowOff>0</xdr:rowOff>
    </xdr:from>
    <xdr:to>
      <xdr:col>38</xdr:col>
      <xdr:colOff>462847</xdr:colOff>
      <xdr:row>29</xdr:row>
      <xdr:rowOff>129392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37CF10-6CB7-4D33-92C8-704321033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0</xdr:colOff>
      <xdr:row>18</xdr:row>
      <xdr:rowOff>0</xdr:rowOff>
    </xdr:from>
    <xdr:to>
      <xdr:col>54</xdr:col>
      <xdr:colOff>329497</xdr:colOff>
      <xdr:row>29</xdr:row>
      <xdr:rowOff>129392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753F28A-2EB3-4DF4-A0BD-E2C7A24D7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0</xdr:colOff>
      <xdr:row>36</xdr:row>
      <xdr:rowOff>0</xdr:rowOff>
    </xdr:from>
    <xdr:to>
      <xdr:col>54</xdr:col>
      <xdr:colOff>303796</xdr:colOff>
      <xdr:row>47</xdr:row>
      <xdr:rowOff>170460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2768FD-C607-4294-90D4-818ECE401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125877</xdr:colOff>
      <xdr:row>72</xdr:row>
      <xdr:rowOff>97159</xdr:rowOff>
    </xdr:from>
    <xdr:to>
      <xdr:col>14</xdr:col>
      <xdr:colOff>273906</xdr:colOff>
      <xdr:row>74</xdr:row>
      <xdr:rowOff>94092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D6BF3207-1476-46A2-82C0-0D3021618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6948" y="5990099"/>
          <a:ext cx="755117" cy="37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328761</xdr:colOff>
      <xdr:row>75</xdr:row>
      <xdr:rowOff>5769</xdr:rowOff>
    </xdr:from>
    <xdr:to>
      <xdr:col>15</xdr:col>
      <xdr:colOff>473444</xdr:colOff>
      <xdr:row>76</xdr:row>
      <xdr:rowOff>196893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AE77EF97-B8EF-4EF9-8438-243F1AF06C28}"/>
                </a:ext>
              </a:extLst>
            </xdr:cNvPr>
            <xdr:cNvSpPr txBox="1"/>
          </xdr:nvSpPr>
          <xdr:spPr>
            <a:xfrm>
              <a:off x="9989832" y="6463928"/>
              <a:ext cx="1358859" cy="37953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BO" sz="100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Me</m:t>
                    </m:r>
                    <m:sSub>
                      <m:sSubPr>
                        <m:ctrlP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L</m:t>
                        </m:r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es-BO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1</m:t>
                        </m:r>
                      </m:num>
                      <m:den>
                        <m: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BO" sz="1000"/>
            </a:p>
          </xdr:txBody>
        </xdr:sp>
      </mc:Choice>
      <mc:Fallback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AE77EF97-B8EF-4EF9-8438-243F1AF06C28}"/>
                </a:ext>
              </a:extLst>
            </xdr:cNvPr>
            <xdr:cNvSpPr txBox="1"/>
          </xdr:nvSpPr>
          <xdr:spPr>
            <a:xfrm>
              <a:off x="9989832" y="6463928"/>
              <a:ext cx="1358859" cy="37953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s-BO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"Me" "d" _((L))=("n " +" 1" )/2</a:t>
              </a:r>
              <a:endParaRPr lang="es-BO" sz="1000"/>
            </a:p>
          </xdr:txBody>
        </xdr:sp>
      </mc:Fallback>
    </mc:AlternateContent>
    <xdr:clientData/>
  </xdr:twoCellAnchor>
  <xdr:twoCellAnchor>
    <xdr:from>
      <xdr:col>13</xdr:col>
      <xdr:colOff>36573</xdr:colOff>
      <xdr:row>76</xdr:row>
      <xdr:rowOff>174741</xdr:rowOff>
    </xdr:from>
    <xdr:to>
      <xdr:col>15</xdr:col>
      <xdr:colOff>304336</xdr:colOff>
      <xdr:row>78</xdr:row>
      <xdr:rowOff>84754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CFBFC7AD-DBA0-46F9-912B-B86DA41D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7644" y="6821307"/>
          <a:ext cx="1481939" cy="370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59985</xdr:colOff>
      <xdr:row>78</xdr:row>
      <xdr:rowOff>143005</xdr:rowOff>
    </xdr:from>
    <xdr:to>
      <xdr:col>15</xdr:col>
      <xdr:colOff>147325</xdr:colOff>
      <xdr:row>80</xdr:row>
      <xdr:rowOff>136577</xdr:rowOff>
    </xdr:to>
    <xdr:pic>
      <xdr:nvPicPr>
        <xdr:cNvPr id="6" name="Imagen 4">
          <a:extLst>
            <a:ext uri="{FF2B5EF4-FFF2-40B4-BE49-F238E27FC236}">
              <a16:creationId xmlns:a16="http://schemas.microsoft.com/office/drawing/2014/main" id="{DED4D6C6-D1EC-4A16-A239-3C293C18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056" y="7250120"/>
          <a:ext cx="1301516" cy="39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9670</xdr:colOff>
      <xdr:row>31</xdr:row>
      <xdr:rowOff>23728</xdr:rowOff>
    </xdr:from>
    <xdr:to>
      <xdr:col>11</xdr:col>
      <xdr:colOff>170319</xdr:colOff>
      <xdr:row>45</xdr:row>
      <xdr:rowOff>183012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6CFB61-4559-4E4D-B332-CD738CE58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52</xdr:row>
      <xdr:rowOff>22678</xdr:rowOff>
    </xdr:from>
    <xdr:to>
      <xdr:col>11</xdr:col>
      <xdr:colOff>160649</xdr:colOff>
      <xdr:row>66</xdr:row>
      <xdr:rowOff>181962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9A603D-FF96-4367-A05A-1631C8D80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22678</xdr:colOff>
      <xdr:row>31</xdr:row>
      <xdr:rowOff>11340</xdr:rowOff>
    </xdr:from>
    <xdr:to>
      <xdr:col>21</xdr:col>
      <xdr:colOff>56697</xdr:colOff>
      <xdr:row>45</xdr:row>
      <xdr:rowOff>170624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945DDA-B546-4649-A1D0-DF362F634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52</xdr:row>
      <xdr:rowOff>22678</xdr:rowOff>
    </xdr:from>
    <xdr:to>
      <xdr:col>21</xdr:col>
      <xdr:colOff>160649</xdr:colOff>
      <xdr:row>66</xdr:row>
      <xdr:rowOff>181962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3A021EB-282C-4A45-908E-55CFD2049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31</xdr:row>
      <xdr:rowOff>22678</xdr:rowOff>
    </xdr:from>
    <xdr:to>
      <xdr:col>32</xdr:col>
      <xdr:colOff>160649</xdr:colOff>
      <xdr:row>45</xdr:row>
      <xdr:rowOff>181962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A59B1B-9852-4201-8C83-45D69F03B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217715</xdr:colOff>
      <xdr:row>82</xdr:row>
      <xdr:rowOff>99785</xdr:rowOff>
    </xdr:from>
    <xdr:to>
      <xdr:col>14</xdr:col>
      <xdr:colOff>560169</xdr:colOff>
      <xdr:row>84</xdr:row>
      <xdr:rowOff>69050</xdr:rowOff>
    </xdr:to>
    <xdr:pic>
      <xdr:nvPicPr>
        <xdr:cNvPr id="12" name="Imagen 13">
          <a:extLst>
            <a:ext uri="{FF2B5EF4-FFF2-40B4-BE49-F238E27FC236}">
              <a16:creationId xmlns:a16="http://schemas.microsoft.com/office/drawing/2014/main" id="{694D1768-4DEF-4EBC-8AB8-FFEE8678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7858" y="16228785"/>
          <a:ext cx="950240" cy="36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225042</xdr:colOff>
      <xdr:row>85</xdr:row>
      <xdr:rowOff>84001</xdr:rowOff>
    </xdr:from>
    <xdr:to>
      <xdr:col>14</xdr:col>
      <xdr:colOff>538921</xdr:colOff>
      <xdr:row>87</xdr:row>
      <xdr:rowOff>58886</xdr:rowOff>
    </xdr:to>
    <xdr:pic>
      <xdr:nvPicPr>
        <xdr:cNvPr id="13" name="Imagen 14">
          <a:extLst>
            <a:ext uri="{FF2B5EF4-FFF2-40B4-BE49-F238E27FC236}">
              <a16:creationId xmlns:a16="http://schemas.microsoft.com/office/drawing/2014/main" id="{9AD6EEFF-C12A-451C-877F-9BBACDD9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5185" y="16802644"/>
          <a:ext cx="921665" cy="383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53845</xdr:colOff>
      <xdr:row>88</xdr:row>
      <xdr:rowOff>186637</xdr:rowOff>
    </xdr:from>
    <xdr:to>
      <xdr:col>16</xdr:col>
      <xdr:colOff>498801</xdr:colOff>
      <xdr:row>91</xdr:row>
      <xdr:rowOff>85029</xdr:rowOff>
    </xdr:to>
    <xdr:pic>
      <xdr:nvPicPr>
        <xdr:cNvPr id="14" name="Imagen 15">
          <a:extLst>
            <a:ext uri="{FF2B5EF4-FFF2-40B4-BE49-F238E27FC236}">
              <a16:creationId xmlns:a16="http://schemas.microsoft.com/office/drawing/2014/main" id="{6BBA9707-B7B1-4192-897C-0106EF7F7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9559" y="17503994"/>
          <a:ext cx="1052742" cy="488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263072</xdr:colOff>
          <xdr:row>91</xdr:row>
          <xdr:rowOff>115118</xdr:rowOff>
        </xdr:from>
        <xdr:to>
          <xdr:col>14</xdr:col>
          <xdr:colOff>484607</xdr:colOff>
          <xdr:row>93</xdr:row>
          <xdr:rowOff>81154</xdr:rowOff>
        </xdr:to>
        <xdr:sp macro="" textlink="">
          <xdr:nvSpPr>
            <xdr:cNvPr id="4119" name="Object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C544CC30-5C4D-43D0-8B86-96E89053A2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298451</xdr:colOff>
          <xdr:row>95</xdr:row>
          <xdr:rowOff>105755</xdr:rowOff>
        </xdr:from>
        <xdr:to>
          <xdr:col>15</xdr:col>
          <xdr:colOff>99795</xdr:colOff>
          <xdr:row>97</xdr:row>
          <xdr:rowOff>84544</xdr:rowOff>
        </xdr:to>
        <xdr:sp macro="" textlink="">
          <xdr:nvSpPr>
            <xdr:cNvPr id="4120" name="Object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B3C81B7E-45BD-4CCB-8A61-682F5E99CF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394846</xdr:colOff>
      <xdr:row>98</xdr:row>
      <xdr:rowOff>117541</xdr:rowOff>
    </xdr:from>
    <xdr:to>
      <xdr:col>15</xdr:col>
      <xdr:colOff>345185</xdr:colOff>
      <xdr:row>100</xdr:row>
      <xdr:rowOff>57082</xdr:rowOff>
    </xdr:to>
    <xdr:pic>
      <xdr:nvPicPr>
        <xdr:cNvPr id="15" name="Imagen 16">
          <a:extLst>
            <a:ext uri="{FF2B5EF4-FFF2-40B4-BE49-F238E27FC236}">
              <a16:creationId xmlns:a16="http://schemas.microsoft.com/office/drawing/2014/main" id="{22BFD573-3C6E-4507-9A58-17E0272F0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989" y="19412470"/>
          <a:ext cx="1165910" cy="35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36</xdr:col>
      <xdr:colOff>9670</xdr:colOff>
      <xdr:row>31</xdr:row>
      <xdr:rowOff>23728</xdr:rowOff>
    </xdr:from>
    <xdr:to>
      <xdr:col>45</xdr:col>
      <xdr:colOff>170319</xdr:colOff>
      <xdr:row>45</xdr:row>
      <xdr:rowOff>183012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5D0F86-9893-4CEE-A96C-BB07851DA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0</xdr:colOff>
      <xdr:row>52</xdr:row>
      <xdr:rowOff>22678</xdr:rowOff>
    </xdr:from>
    <xdr:to>
      <xdr:col>45</xdr:col>
      <xdr:colOff>160649</xdr:colOff>
      <xdr:row>66</xdr:row>
      <xdr:rowOff>181962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13EC246-B116-458A-886E-D6FD5D81C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22678</xdr:colOff>
      <xdr:row>31</xdr:row>
      <xdr:rowOff>11340</xdr:rowOff>
    </xdr:from>
    <xdr:to>
      <xdr:col>55</xdr:col>
      <xdr:colOff>56697</xdr:colOff>
      <xdr:row>45</xdr:row>
      <xdr:rowOff>170624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DDB8D6-600C-4988-82D2-5F549682F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0</xdr:colOff>
      <xdr:row>52</xdr:row>
      <xdr:rowOff>22678</xdr:rowOff>
    </xdr:from>
    <xdr:to>
      <xdr:col>55</xdr:col>
      <xdr:colOff>160649</xdr:colOff>
      <xdr:row>66</xdr:row>
      <xdr:rowOff>181962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FDB5875-BC50-4CE3-87B6-93F1F975D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0</xdr:colOff>
      <xdr:row>31</xdr:row>
      <xdr:rowOff>22678</xdr:rowOff>
    </xdr:from>
    <xdr:to>
      <xdr:col>65</xdr:col>
      <xdr:colOff>160649</xdr:colOff>
      <xdr:row>45</xdr:row>
      <xdr:rowOff>181962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4ECD7F5-F649-4887-ABDA-1B196D340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125877</xdr:colOff>
      <xdr:row>72</xdr:row>
      <xdr:rowOff>97159</xdr:rowOff>
    </xdr:from>
    <xdr:to>
      <xdr:col>48</xdr:col>
      <xdr:colOff>273906</xdr:colOff>
      <xdr:row>74</xdr:row>
      <xdr:rowOff>94092</xdr:rowOff>
    </xdr:to>
    <xdr:pic>
      <xdr:nvPicPr>
        <xdr:cNvPr id="21" name="Imagen 1">
          <a:extLst>
            <a:ext uri="{FF2B5EF4-FFF2-40B4-BE49-F238E27FC236}">
              <a16:creationId xmlns:a16="http://schemas.microsoft.com/office/drawing/2014/main" id="{95797A18-746B-4F39-9A59-90702929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1616" y="13874870"/>
          <a:ext cx="751727" cy="39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328761</xdr:colOff>
      <xdr:row>75</xdr:row>
      <xdr:rowOff>5769</xdr:rowOff>
    </xdr:from>
    <xdr:to>
      <xdr:col>49</xdr:col>
      <xdr:colOff>473444</xdr:colOff>
      <xdr:row>76</xdr:row>
      <xdr:rowOff>196893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Object 3">
              <a:extLst>
                <a:ext uri="{FF2B5EF4-FFF2-40B4-BE49-F238E27FC236}">
                  <a16:creationId xmlns:a16="http://schemas.microsoft.com/office/drawing/2014/main" id="{BE4CFCCD-90E5-4DDC-9D8C-228ABBDE1861}"/>
                </a:ext>
              </a:extLst>
            </xdr:cNvPr>
            <xdr:cNvSpPr txBox="1"/>
          </xdr:nvSpPr>
          <xdr:spPr>
            <a:xfrm>
              <a:off x="9974500" y="14373762"/>
              <a:ext cx="1352078" cy="37894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BO" sz="100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Me</m:t>
                    </m:r>
                    <m:sSub>
                      <m:sSubPr>
                        <m:ctrlP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L</m:t>
                        </m:r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es-BO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BO" sz="1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nor/>
                          </m:rP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1</m:t>
                        </m:r>
                      </m:num>
                      <m:den>
                        <m:r>
                          <a:rPr lang="es-BO" sz="1000" i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BO" sz="1000"/>
            </a:p>
          </xdr:txBody>
        </xdr:sp>
      </mc:Choice>
      <mc:Fallback>
        <xdr:sp macro="" textlink="">
          <xdr:nvSpPr>
            <xdr:cNvPr id="22" name="Object 3">
              <a:extLst>
                <a:ext uri="{FF2B5EF4-FFF2-40B4-BE49-F238E27FC236}">
                  <a16:creationId xmlns:a16="http://schemas.microsoft.com/office/drawing/2014/main" id="{BE4CFCCD-90E5-4DDC-9D8C-228ABBDE1861}"/>
                </a:ext>
              </a:extLst>
            </xdr:cNvPr>
            <xdr:cNvSpPr txBox="1"/>
          </xdr:nvSpPr>
          <xdr:spPr>
            <a:xfrm>
              <a:off x="9974500" y="14373762"/>
              <a:ext cx="1352078" cy="37894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s-BO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"Me" "d" _((L))=("n " +" 1" )/2</a:t>
              </a:r>
              <a:endParaRPr lang="es-BO" sz="1000"/>
            </a:p>
          </xdr:txBody>
        </xdr:sp>
      </mc:Fallback>
    </mc:AlternateContent>
    <xdr:clientData/>
  </xdr:twoCellAnchor>
  <xdr:twoCellAnchor>
    <xdr:from>
      <xdr:col>47</xdr:col>
      <xdr:colOff>36573</xdr:colOff>
      <xdr:row>76</xdr:row>
      <xdr:rowOff>174741</xdr:rowOff>
    </xdr:from>
    <xdr:to>
      <xdr:col>49</xdr:col>
      <xdr:colOff>304336</xdr:colOff>
      <xdr:row>78</xdr:row>
      <xdr:rowOff>84754</xdr:rowOff>
    </xdr:to>
    <xdr:pic>
      <xdr:nvPicPr>
        <xdr:cNvPr id="23" name="Imagen 3">
          <a:extLst>
            <a:ext uri="{FF2B5EF4-FFF2-40B4-BE49-F238E27FC236}">
              <a16:creationId xmlns:a16="http://schemas.microsoft.com/office/drawing/2014/main" id="{797D5D1E-0A3E-4DAA-B52C-EE70190C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2312" y="14730551"/>
          <a:ext cx="1475158" cy="36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59985</xdr:colOff>
      <xdr:row>78</xdr:row>
      <xdr:rowOff>143005</xdr:rowOff>
    </xdr:from>
    <xdr:to>
      <xdr:col>49</xdr:col>
      <xdr:colOff>147325</xdr:colOff>
      <xdr:row>80</xdr:row>
      <xdr:rowOff>136577</xdr:rowOff>
    </xdr:to>
    <xdr:pic>
      <xdr:nvPicPr>
        <xdr:cNvPr id="24" name="Imagen 4">
          <a:extLst>
            <a:ext uri="{FF2B5EF4-FFF2-40B4-BE49-F238E27FC236}">
              <a16:creationId xmlns:a16="http://schemas.microsoft.com/office/drawing/2014/main" id="{F86015FF-6837-40BF-8186-1623C594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724" y="15154942"/>
          <a:ext cx="1294735" cy="396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217715</xdr:colOff>
      <xdr:row>82</xdr:row>
      <xdr:rowOff>99785</xdr:rowOff>
    </xdr:from>
    <xdr:to>
      <xdr:col>48</xdr:col>
      <xdr:colOff>560169</xdr:colOff>
      <xdr:row>84</xdr:row>
      <xdr:rowOff>69050</xdr:rowOff>
    </xdr:to>
    <xdr:pic>
      <xdr:nvPicPr>
        <xdr:cNvPr id="25" name="Imagen 13">
          <a:extLst>
            <a:ext uri="{FF2B5EF4-FFF2-40B4-BE49-F238E27FC236}">
              <a16:creationId xmlns:a16="http://schemas.microsoft.com/office/drawing/2014/main" id="{B66C34A2-2972-45BD-9C53-EC1DBE62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3454" y="15889820"/>
          <a:ext cx="946152" cy="371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225042</xdr:colOff>
      <xdr:row>85</xdr:row>
      <xdr:rowOff>84001</xdr:rowOff>
    </xdr:from>
    <xdr:to>
      <xdr:col>48</xdr:col>
      <xdr:colOff>538921</xdr:colOff>
      <xdr:row>87</xdr:row>
      <xdr:rowOff>58886</xdr:rowOff>
    </xdr:to>
    <xdr:pic>
      <xdr:nvPicPr>
        <xdr:cNvPr id="26" name="Imagen 14">
          <a:extLst>
            <a:ext uri="{FF2B5EF4-FFF2-40B4-BE49-F238E27FC236}">
              <a16:creationId xmlns:a16="http://schemas.microsoft.com/office/drawing/2014/main" id="{F7AD8EEE-5E58-428F-A4D3-0847728C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0781" y="16464318"/>
          <a:ext cx="917577" cy="37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49</xdr:col>
      <xdr:colOff>53845</xdr:colOff>
      <xdr:row>88</xdr:row>
      <xdr:rowOff>186637</xdr:rowOff>
    </xdr:from>
    <xdr:to>
      <xdr:col>50</xdr:col>
      <xdr:colOff>498801</xdr:colOff>
      <xdr:row>91</xdr:row>
      <xdr:rowOff>85029</xdr:rowOff>
    </xdr:to>
    <xdr:pic>
      <xdr:nvPicPr>
        <xdr:cNvPr id="27" name="Imagen 15">
          <a:extLst>
            <a:ext uri="{FF2B5EF4-FFF2-40B4-BE49-F238E27FC236}">
              <a16:creationId xmlns:a16="http://schemas.microsoft.com/office/drawing/2014/main" id="{51B242DE-2FDD-4125-9FCA-6C1B809C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979" y="17157236"/>
          <a:ext cx="1048653" cy="488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47</xdr:col>
          <xdr:colOff>263072</xdr:colOff>
          <xdr:row>91</xdr:row>
          <xdr:rowOff>115118</xdr:rowOff>
        </xdr:from>
        <xdr:to>
          <xdr:col>48</xdr:col>
          <xdr:colOff>484607</xdr:colOff>
          <xdr:row>93</xdr:row>
          <xdr:rowOff>81154</xdr:rowOff>
        </xdr:to>
        <xdr:sp macro="" textlink="">
          <xdr:nvSpPr>
            <xdr:cNvPr id="4147" name="Object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677BC619-8972-47B7-91E5-C566BEE79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47</xdr:col>
          <xdr:colOff>298451</xdr:colOff>
          <xdr:row>95</xdr:row>
          <xdr:rowOff>105755</xdr:rowOff>
        </xdr:from>
        <xdr:to>
          <xdr:col>49</xdr:col>
          <xdr:colOff>99795</xdr:colOff>
          <xdr:row>97</xdr:row>
          <xdr:rowOff>84544</xdr:rowOff>
        </xdr:to>
        <xdr:sp macro="" textlink="">
          <xdr:nvSpPr>
            <xdr:cNvPr id="4148" name="Object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6EA89A20-A9BE-4247-B04B-14A1C89A7F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47</xdr:col>
      <xdr:colOff>394846</xdr:colOff>
      <xdr:row>98</xdr:row>
      <xdr:rowOff>117541</xdr:rowOff>
    </xdr:from>
    <xdr:to>
      <xdr:col>49</xdr:col>
      <xdr:colOff>345185</xdr:colOff>
      <xdr:row>100</xdr:row>
      <xdr:rowOff>57082</xdr:rowOff>
    </xdr:to>
    <xdr:pic>
      <xdr:nvPicPr>
        <xdr:cNvPr id="28" name="Imagen 16">
          <a:extLst>
            <a:ext uri="{FF2B5EF4-FFF2-40B4-BE49-F238E27FC236}">
              <a16:creationId xmlns:a16="http://schemas.microsoft.com/office/drawing/2014/main" id="{FB313DE1-BA4A-44A0-89EA-DC30C4E0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85" y="19073633"/>
          <a:ext cx="1157734" cy="368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68</xdr:col>
      <xdr:colOff>612994</xdr:colOff>
      <xdr:row>22</xdr:row>
      <xdr:rowOff>0</xdr:rowOff>
    </xdr:from>
    <xdr:to>
      <xdr:col>77</xdr:col>
      <xdr:colOff>141460</xdr:colOff>
      <xdr:row>33</xdr:row>
      <xdr:rowOff>129392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06FB026-9AE1-4EDB-9DDA-C1842D24C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78</xdr:col>
      <xdr:colOff>0</xdr:colOff>
      <xdr:row>22</xdr:row>
      <xdr:rowOff>0</xdr:rowOff>
    </xdr:from>
    <xdr:to>
      <xdr:col>86</xdr:col>
      <xdr:colOff>169752</xdr:colOff>
      <xdr:row>33</xdr:row>
      <xdr:rowOff>170460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8C528A2-378B-4F08-8E83-48905F2D5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567929282406" backgroundQuery="1" createdVersion="8" refreshedVersion="8" minRefreshableVersion="3" recordCount="0" supportSubquery="1" supportAdvancedDrill="1" xr:uid="{77861C3C-7D82-46A2-81B7-C99BE94154EE}">
  <cacheSource type="external" connectionId="1"/>
  <cacheFields count="4"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Range].[Pclase].[Pclase]" caption="Pclase" numFmtId="0" hierarchy="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Range].[Pclase].&amp;[1]"/>
            <x15:cachedUniqueName index="1" name="[Range].[Pclase].&amp;[2]"/>
            <x15:cachedUniqueName index="2" name="[Range].[Pclase].&amp;[3]"/>
          </x15:cachedUniqueNames>
        </ext>
      </extLst>
    </cacheField>
    <cacheField name="[Range].[Embarque].[Embarque]" caption="Embarque" numFmtId="0" hierarchy="7" level="1">
      <sharedItems count="3">
        <s v="C"/>
        <s v="Q"/>
        <s v="S"/>
      </sharedItems>
    </cacheField>
    <cacheField name="[Measures].[Count of Embarque]" caption="Count of Embarque" numFmtId="0" hierarchy="12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0"/>
      </fieldsUsage>
    </cacheHierarchy>
    <cacheHierarchy uniqueName="[Range].[Pclase]" caption="Pclase" attribute="1" defaultMemberUniqueName="[Range].[Pclase].[All]" allUniqueName="[Range].[Pclase].[All]" dimensionUniqueName="[Range]" displayFolder="" count="2" memberValueDatatype="20" unbalanced="0">
      <fieldsUsage count="2">
        <fieldUsage x="-1"/>
        <fieldUsage x="1"/>
      </fieldsUsage>
    </cacheHierarchy>
    <cacheHierarchy uniqueName="[Range].[Sexo]" caption="Sexo" attribute="1" defaultMemberUniqueName="[Range].[Sexo].[All]" allUniqueName="[Range].[Sexo].[All]" dimensionUniqueName="[Range]" displayFolder="" count="0" memberValueDatatype="130" unbalanced="0"/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572311342592" backgroundQuery="1" createdVersion="8" refreshedVersion="8" minRefreshableVersion="3" recordCount="0" supportSubquery="1" supportAdvancedDrill="1" xr:uid="{9A79EF5C-8553-4406-8C08-C46C3E0B032B}">
  <cacheSource type="external" connectionId="1"/>
  <cacheFields count="3">
    <cacheField name="[Range].[Sexo].[Sexo]" caption="Sexo" numFmtId="0" hierarchy="2" level="1">
      <sharedItems count="2">
        <s v="hombre"/>
        <s v="mujer"/>
      </sharedItems>
    </cacheField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Measures].[Count of Superviviente]" caption="Count of Superviviente" numFmtId="0" hierarchy="11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1"/>
      </fieldsUsage>
    </cacheHierarchy>
    <cacheHierarchy uniqueName="[Range].[Pclase]" caption="Pclase" attribute="1" defaultMemberUniqueName="[Range].[Pclase].[All]" allUniqueName="[Range].[Pclase].[All]" dimensionUniqueName="[Range]" displayFolder="" count="0" memberValueDatatype="20" unbalanced="0"/>
    <cacheHierarchy uniqueName="[Range].[Sexo]" caption="Sexo" attribute="1" defaultMemberUniqueName="[Range].[Sexo].[All]" allUniqueName="[Range].[Sex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567135648147" backgroundQuery="1" createdVersion="8" refreshedVersion="8" minRefreshableVersion="3" recordCount="0" supportSubquery="1" supportAdvancedDrill="1" xr:uid="{E8F7BF0D-2795-4F15-B529-A7C04068D908}">
  <cacheSource type="external" connectionId="1"/>
  <cacheFields count="3"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Range].[Pclase].[Pclase]" caption="Pclase" numFmtId="0" hierarchy="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Range].[Pclase].&amp;[1]"/>
            <x15:cachedUniqueName index="1" name="[Range].[Pclase].&amp;[2]"/>
            <x15:cachedUniqueName index="2" name="[Range].[Pclase].&amp;[3]"/>
          </x15:cachedUniqueNames>
        </ext>
      </extLst>
    </cacheField>
    <cacheField name="[Measures].[Count of Superviviente]" caption="Count of Superviviente" numFmtId="0" hierarchy="11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0"/>
      </fieldsUsage>
    </cacheHierarchy>
    <cacheHierarchy uniqueName="[Range].[Pclase]" caption="Pclase" attribute="1" defaultMemberUniqueName="[Range].[Pclase].[All]" allUniqueName="[Range].[Pclase].[All]" dimensionUniqueName="[Range]" displayFolder="" count="2" memberValueDatatype="20" unbalanced="0">
      <fieldsUsage count="2">
        <fieldUsage x="-1"/>
        <fieldUsage x="1"/>
      </fieldsUsage>
    </cacheHierarchy>
    <cacheHierarchy uniqueName="[Range].[Sexo]" caption="Sexo" attribute="1" defaultMemberUniqueName="[Range].[Sexo].[All]" allUniqueName="[Range].[Sexo].[All]" dimensionUniqueName="[Range]" displayFolder="" count="0" memberValueDatatype="130" unbalanced="0"/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581363194447" backgroundQuery="1" createdVersion="8" refreshedVersion="8" minRefreshableVersion="3" recordCount="0" supportSubquery="1" supportAdvancedDrill="1" xr:uid="{C1770E2C-7DD4-4373-A1E0-793F6EB075A8}">
  <cacheSource type="external" connectionId="1"/>
  <cacheFields count="3">
    <cacheField name="[Range].[Sexo].[Sexo]" caption="Sexo" numFmtId="0" hierarchy="2" level="1">
      <sharedItems count="2">
        <s v="hombre"/>
        <s v="mujer"/>
      </sharedItems>
    </cacheField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Measures].[Count of Superviviente]" caption="Count of Superviviente" numFmtId="0" hierarchy="11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1"/>
      </fieldsUsage>
    </cacheHierarchy>
    <cacheHierarchy uniqueName="[Range].[Pclase]" caption="Pclase" attribute="1" defaultMemberUniqueName="[Range].[Pclase].[All]" allUniqueName="[Range].[Pclase].[All]" dimensionUniqueName="[Range]" displayFolder="" count="0" memberValueDatatype="20" unbalanced="0"/>
    <cacheHierarchy uniqueName="[Range].[Sexo]" caption="Sexo" attribute="1" defaultMemberUniqueName="[Range].[Sexo].[All]" allUniqueName="[Range].[Sex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638007870373" backgroundQuery="1" createdVersion="8" refreshedVersion="8" minRefreshableVersion="3" recordCount="0" supportSubquery="1" supportAdvancedDrill="1" xr:uid="{391FCEAB-266A-437A-AD3D-A63AA36FDE4D}">
  <cacheSource type="external" connectionId="1"/>
  <cacheFields count="3"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Range].[Pclase].[Pclase]" caption="Pclase" numFmtId="0" hierarchy="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Range].[Pclase].&amp;[1]"/>
            <x15:cachedUniqueName index="1" name="[Range].[Pclase].&amp;[2]"/>
            <x15:cachedUniqueName index="2" name="[Range].[Pclase].&amp;[3]"/>
          </x15:cachedUniqueNames>
        </ext>
      </extLst>
    </cacheField>
    <cacheField name="[Measures].[Count of Superviviente]" caption="Count of Superviviente" numFmtId="0" hierarchy="11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0"/>
      </fieldsUsage>
    </cacheHierarchy>
    <cacheHierarchy uniqueName="[Range].[Pclase]" caption="Pclase" attribute="1" defaultMemberUniqueName="[Range].[Pclase].[All]" allUniqueName="[Range].[Pclase].[All]" dimensionUniqueName="[Range]" displayFolder="" count="2" memberValueDatatype="20" unbalanced="0">
      <fieldsUsage count="2">
        <fieldUsage x="-1"/>
        <fieldUsage x="1"/>
      </fieldsUsage>
    </cacheHierarchy>
    <cacheHierarchy uniqueName="[Range].[Sexo]" caption="Sexo" attribute="1" defaultMemberUniqueName="[Range].[Sexo].[All]" allUniqueName="[Range].[Sexo].[All]" dimensionUniqueName="[Range]" displayFolder="" count="0" memberValueDatatype="130" unbalanced="0"/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 Durán Cuenca" refreshedDate="45993.648960416664" backgroundQuery="1" createdVersion="8" refreshedVersion="8" minRefreshableVersion="3" recordCount="0" supportSubquery="1" supportAdvancedDrill="1" xr:uid="{5F662271-02D1-43F0-91A8-D14F1DD2F971}">
  <cacheSource type="external" connectionId="1"/>
  <cacheFields count="4">
    <cacheField name="[Range].[Superviviente].[Superviviente]" caption="Superviviente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Superviviente].&amp;[0]"/>
            <x15:cachedUniqueName index="1" name="[Range].[Superviviente].&amp;[1]"/>
          </x15:cachedUniqueNames>
        </ext>
      </extLst>
    </cacheField>
    <cacheField name="[Range].[Pclase].[Pclase]" caption="Pclase" numFmtId="0" hierarchy="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Range].[Pclase].&amp;[1]"/>
            <x15:cachedUniqueName index="1" name="[Range].[Pclase].&amp;[2]"/>
            <x15:cachedUniqueName index="2" name="[Range].[Pclase].&amp;[3]"/>
          </x15:cachedUniqueNames>
        </ext>
      </extLst>
    </cacheField>
    <cacheField name="[Range].[Embarque].[Embarque]" caption="Embarque" numFmtId="0" hierarchy="7" level="1">
      <sharedItems count="3">
        <s v="C"/>
        <s v="Q"/>
        <s v="S"/>
      </sharedItems>
    </cacheField>
    <cacheField name="[Measures].[Count of Embarque]" caption="Count of Embarque" numFmtId="0" hierarchy="12" level="32767"/>
  </cacheFields>
  <cacheHierarchies count="13">
    <cacheHierarchy uniqueName="[Range].[Superviviente]" caption="Superviviente" attribute="1" defaultMemberUniqueName="[Range].[Superviviente].[All]" allUniqueName="[Range].[Superviviente].[All]" dimensionUniqueName="[Range]" displayFolder="" count="2" memberValueDatatype="20" unbalanced="0">
      <fieldsUsage count="2">
        <fieldUsage x="-1"/>
        <fieldUsage x="0"/>
      </fieldsUsage>
    </cacheHierarchy>
    <cacheHierarchy uniqueName="[Range].[Pclase]" caption="Pclase" attribute="1" defaultMemberUniqueName="[Range].[Pclase].[All]" allUniqueName="[Range].[Pclase].[All]" dimensionUniqueName="[Range]" displayFolder="" count="2" memberValueDatatype="20" unbalanced="0">
      <fieldsUsage count="2">
        <fieldUsage x="-1"/>
        <fieldUsage x="1"/>
      </fieldsUsage>
    </cacheHierarchy>
    <cacheHierarchy uniqueName="[Range].[Sexo]" caption="Sexo" attribute="1" defaultMemberUniqueName="[Range].[Sexo].[All]" allUniqueName="[Range].[Sexo].[All]" dimensionUniqueName="[Range]" displayFolder="" count="0" memberValueDatatype="130" unbalanced="0"/>
    <cacheHierarchy uniqueName="[Range].[Edad]" caption="Edad" attribute="1" defaultMemberUniqueName="[Range].[Edad].[All]" allUniqueName="[Range].[Edad].[All]" dimensionUniqueName="[Range]" displayFolder="" count="0" memberValueDatatype="5" unbalanced="0"/>
    <cacheHierarchy uniqueName="[Range].[HermanosConyuges]" caption="HermanosConyuges" attribute="1" defaultMemberUniqueName="[Range].[HermanosConyuges].[All]" allUniqueName="[Range].[HermanosConyuges].[All]" dimensionUniqueName="[Range]" displayFolder="" count="0" memberValueDatatype="20" unbalanced="0"/>
    <cacheHierarchy uniqueName="[Range].[PadresHijosAbordo]" caption="PadresHijosAbordo" attribute="1" defaultMemberUniqueName="[Range].[PadresHijosAbordo].[All]" allUniqueName="[Range].[PadresHijosAbordo].[All]" dimensionUniqueName="[Range]" displayFolder="" count="0" memberValueDatatype="20" unbalanced="0"/>
    <cacheHierarchy uniqueName="[Range].[Tarifa]" caption="Tarifa" attribute="1" defaultMemberUniqueName="[Range].[Tarifa].[All]" allUniqueName="[Range].[Tarifa].[All]" dimensionUniqueName="[Range]" displayFolder="" count="0" memberValueDatatype="5" unbalanced="0"/>
    <cacheHierarchy uniqueName="[Range].[Embarque]" caption="Embarque" attribute="1" defaultMemberUniqueName="[Range].[Embarque].[All]" allUniqueName="[Range].[Embarque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uperviviente]" caption="Sum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perviviente]" caption="Count of Supervivient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barque]" caption="Count of Embarqu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A0E11-5723-4154-8AC4-07D07AEBF060}" name="PivotTable7" cacheId="140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0" showHeaders="0" outline="1" outlineData="1" multipleFieldFilters="0">
  <location ref="B94:F99" firstHeaderRow="1" firstDataRow="2" firstDataCol="1"/>
  <pivotFields count="4">
    <pivotField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n="Cherbourg" x="0"/>
        <item n="Queenstown" x="1"/>
        <item n="Southampton"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Embarque" fld="3" subtotal="count" showDataAs="percentOfTotal" baseField="1" baseItem="0" numFmtId="164"/>
  </dataFields>
  <formats count="4">
    <format dxfId="20">
      <pivotArea type="all" dataOnly="0" outline="0" fieldPosition="0"/>
    </format>
    <format dxfId="19">
      <pivotArea outline="0" collapsedLevelsAreSubtotals="1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upervivien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E0D1A-B22D-4FDC-A11A-2639B20BC04F}" name="PivotTable6" cacheId="118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0" showHeaders="0" outline="1" outlineData="1" multipleFieldFilters="0">
  <location ref="B41:E46" firstHeaderRow="1" firstDataRow="2" firstDataCol="1"/>
  <pivotFields count="3">
    <pivotField axis="axisCol" allDrilled="1" subtotalTop="0" showAll="0" dataSourceSort="1" defaultSubtotal="0" defaultAttributeDrillState="1">
      <items count="2">
        <item n="No (0)" x="0"/>
        <item n="Si (1)"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abla de contingencia" fld="2" subtotal="count" baseField="1" baseItem="0"/>
  </dataFields>
  <formats count="1">
    <format dxfId="17">
      <pivotArea dataOnly="0" labelOnly="1" fieldPosition="0">
        <references count="1">
          <reference field="1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abla de contingencia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7B50F-EA96-4A51-80A9-0275EE633D9B}" name="PivotTable5" cacheId="117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0" showHeaders="0" outline="1" outlineData="1" multipleFieldFilters="0">
  <location ref="B10:E14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n="No (0)" x="0"/>
        <item n="Si (1)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abla de probabilidad" fld="2" subtotal="count" showDataAs="percentOfTotal" baseField="0" baseItem="1" numFmtId="164"/>
  </dataFields>
  <formats count="3">
    <format dxfId="24">
      <pivotArea outline="0" collapsedLevelsAreSubtotals="1" fieldPosition="0"/>
    </format>
    <format dxfId="23">
      <pivotArea outline="0" collapsedLevelsAreSubtotals="1" fieldPosition="0"/>
    </format>
    <format dxfId="15">
      <pivotArea dataOnly="0" labelOnly="1" fieldPosition="0">
        <references count="1">
          <reference field="0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abla de probabilida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B7C06-BD55-4711-A066-8F60BE108888}" name="PivotTable4" cacheId="107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0" showHeaders="0" outline="1" outlineData="1" multipleFieldFilters="0">
  <location ref="B86:F91" firstHeaderRow="1" firstDataRow="2" firstDataCol="1"/>
  <pivotFields count="4">
    <pivotField allDrilled="1" subtotalTop="0" showAll="0" dataSourceSort="1" defaultSubtotal="0" defaultAttributeDrillState="1">
      <items count="2">
        <item n="No (0)" x="0"/>
        <item n="Si (1)"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n="Cherbourg" x="0"/>
        <item n="Queenstown" x="1"/>
        <item n="Southampton"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Embarque" fld="3" subtotal="count" baseField="1" baseItem="0"/>
  </dataFields>
  <formats count="1">
    <format dxfId="14">
      <pivotArea dataOnly="0" labelOnly="1" fieldPosition="0">
        <references count="1">
          <reference field="1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upervivien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BEEE5-27C9-4EC1-88B2-37A0AD491812}" name="PivotTable3" cacheId="136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0" showHeaders="0" outline="1" outlineData="1" multipleFieldFilters="0">
  <location ref="B49:E54" firstHeaderRow="1" firstDataRow="2" firstDataCol="1"/>
  <pivotFields count="3">
    <pivotField axis="axisCol" allDrilled="1" subtotalTop="0" showAll="0" dataSourceSort="1" defaultSubtotal="0" defaultAttributeDrillState="1">
      <items count="2">
        <item n="No (0)" x="0"/>
        <item n="Si (1)" x="1"/>
      </items>
    </pivotField>
    <pivotField axis="axisRow" allDrilled="1" subtotalTop="0" showAll="0" dataSourceSort="1" defaultSubtotal="0" defaultAttributeDrillState="1">
      <items count="3">
        <item n="1ra Clase" x="0"/>
        <item n="2da clase" x="1"/>
        <item n="3ra clase"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abla de probabilidad" fld="2" subtotal="count" showDataAs="percentOfTotal" baseField="1" baseItem="0" numFmtId="164"/>
  </dataFields>
  <formats count="3">
    <format dxfId="22">
      <pivotArea outline="0" fieldPosition="0">
        <references count="1">
          <reference field="4294967294" count="1">
            <x v="0"/>
          </reference>
        </references>
      </pivotArea>
    </format>
    <format dxfId="21">
      <pivotArea outline="0" collapsedLevelsAreSubtotals="1" fieldPosition="0"/>
    </format>
    <format dxfId="18">
      <pivotArea dataOnly="0" labelOnly="1" fieldPosition="0">
        <references count="1">
          <reference field="1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abla de probabilida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80ED8-A429-45BA-8E94-CE72DBF20425}" name="Sexo x Supervivencia" cacheId="124" applyNumberFormats="0" applyBorderFormats="0" applyFontFormats="0" applyPatternFormats="0" applyAlignmentFormats="0" applyWidthHeightFormats="1" dataCaption="Values" grandTotalCaption="Total" updatedVersion="8" minRefreshableVersion="3" showDrill="0" useAutoFormatting="1" subtotalHiddenItems="1" itemPrintTitles="1" createdVersion="8" indent="127" showHeaders="0" outline="1" outlineData="1" multipleFieldFilters="0">
  <location ref="B3:E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n="No (0)" x="0"/>
        <item n="Si (1)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abla de contingencia" fld="2" subtotal="count" baseField="0" baseItem="0"/>
  </dataFields>
  <formats count="1">
    <format dxfId="16">
      <pivotArea dataOnly="0" labelOnly="1" fieldPosition="0">
        <references count="1">
          <reference field="0" count="0"/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abla de contingencia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 Limpios!$A$1:$H$89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30F239-C4B3-460C-B407-6EAB80DA0458}" name="Table4" displayName="Table4" ref="A1:H890" totalsRowShown="0" headerRowDxfId="0" dataDxfId="1" headerRowBorderDxfId="10" tableBorderDxfId="11">
  <autoFilter ref="A1:H890" xr:uid="{C030F239-C4B3-460C-B407-6EAB80DA0458}"/>
  <tableColumns count="8">
    <tableColumn id="1" xr3:uid="{2F99EEC3-FA9B-438A-90C5-946DAC9D3C0E}" name="Superviviente" dataDxfId="9"/>
    <tableColumn id="2" xr3:uid="{C2A02DF8-DE5E-48B3-BB44-F368665D9B94}" name="Pclase" dataDxfId="8"/>
    <tableColumn id="3" xr3:uid="{5F82FD2D-2D9B-45EF-9A36-B2C02CA312A7}" name="Sexo" dataDxfId="7"/>
    <tableColumn id="4" xr3:uid="{577E4499-B417-4596-91C5-4BBED088BF3E}" name="Edad" dataDxfId="6"/>
    <tableColumn id="5" xr3:uid="{4270EB5A-FF75-4CD5-B6B8-DC217352CBB0}" name="HermanosConyuges" dataDxfId="5"/>
    <tableColumn id="6" xr3:uid="{9FFA700A-77FA-4869-A3C7-41E73A012BA5}" name="PadresHijosAbordo" dataDxfId="4"/>
    <tableColumn id="7" xr3:uid="{96D36D63-DEC6-4854-96B4-6799D18E17C1}" name="Tarifa" dataDxfId="3"/>
    <tableColumn id="8" xr3:uid="{886EC592-C504-4AE8-8B2C-A221AFAD957B}" name="Embarqu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0"/>
  <sheetViews>
    <sheetView zoomScale="115" workbookViewId="0">
      <selection activeCell="D6" sqref="D6"/>
    </sheetView>
  </sheetViews>
  <sheetFormatPr defaultRowHeight="15"/>
  <cols>
    <col min="1" max="8" width="21.7109375" customWidth="1"/>
  </cols>
  <sheetData>
    <row r="1" spans="1:8">
      <c r="A1" s="130" t="s">
        <v>3</v>
      </c>
      <c r="B1" s="130" t="s">
        <v>4</v>
      </c>
      <c r="C1" s="130" t="s">
        <v>5</v>
      </c>
      <c r="D1" s="130" t="s">
        <v>6</v>
      </c>
      <c r="E1" s="130" t="s">
        <v>7</v>
      </c>
      <c r="F1" s="130" t="s">
        <v>8</v>
      </c>
      <c r="G1" s="130" t="s">
        <v>9</v>
      </c>
      <c r="H1" s="130" t="s">
        <v>10</v>
      </c>
    </row>
    <row r="2" spans="1:8">
      <c r="A2" s="70">
        <v>0</v>
      </c>
      <c r="B2" s="70">
        <v>3</v>
      </c>
      <c r="C2" s="70" t="s">
        <v>42</v>
      </c>
      <c r="D2" s="70">
        <v>22</v>
      </c>
      <c r="E2" s="70">
        <v>1</v>
      </c>
      <c r="F2" s="70">
        <v>0</v>
      </c>
      <c r="G2" s="129">
        <v>7.25</v>
      </c>
      <c r="H2" s="70" t="s">
        <v>0</v>
      </c>
    </row>
    <row r="3" spans="1:8">
      <c r="A3" s="70">
        <v>1</v>
      </c>
      <c r="B3" s="70">
        <v>1</v>
      </c>
      <c r="C3" s="70" t="s">
        <v>41</v>
      </c>
      <c r="D3" s="70">
        <v>38</v>
      </c>
      <c r="E3" s="70">
        <v>1</v>
      </c>
      <c r="F3" s="70">
        <v>0</v>
      </c>
      <c r="G3" s="129">
        <v>71.283299999999997</v>
      </c>
      <c r="H3" s="70" t="s">
        <v>1</v>
      </c>
    </row>
    <row r="4" spans="1:8">
      <c r="A4" s="70">
        <v>1</v>
      </c>
      <c r="B4" s="70">
        <v>3</v>
      </c>
      <c r="C4" s="70" t="s">
        <v>41</v>
      </c>
      <c r="D4" s="70">
        <v>26</v>
      </c>
      <c r="E4" s="70">
        <v>0</v>
      </c>
      <c r="F4" s="70">
        <v>0</v>
      </c>
      <c r="G4" s="129">
        <v>7.9249999999999998</v>
      </c>
      <c r="H4" s="70" t="s">
        <v>0</v>
      </c>
    </row>
    <row r="5" spans="1:8">
      <c r="A5" s="70">
        <v>1</v>
      </c>
      <c r="B5" s="70">
        <v>1</v>
      </c>
      <c r="C5" s="70" t="s">
        <v>41</v>
      </c>
      <c r="D5" s="70">
        <v>35</v>
      </c>
      <c r="E5" s="70">
        <v>1</v>
      </c>
      <c r="F5" s="70">
        <v>0</v>
      </c>
      <c r="G5" s="129">
        <v>53.1</v>
      </c>
      <c r="H5" s="70" t="s">
        <v>0</v>
      </c>
    </row>
    <row r="6" spans="1:8">
      <c r="A6" s="70">
        <v>0</v>
      </c>
      <c r="B6" s="70">
        <v>3</v>
      </c>
      <c r="C6" s="70" t="s">
        <v>42</v>
      </c>
      <c r="D6" s="70">
        <v>35</v>
      </c>
      <c r="E6" s="70">
        <v>0</v>
      </c>
      <c r="F6" s="70">
        <v>0</v>
      </c>
      <c r="G6" s="129">
        <v>8.0500000000000007</v>
      </c>
      <c r="H6" s="70" t="s">
        <v>0</v>
      </c>
    </row>
    <row r="7" spans="1:8">
      <c r="A7" s="70">
        <v>0</v>
      </c>
      <c r="B7" s="70">
        <v>3</v>
      </c>
      <c r="C7" s="70" t="s">
        <v>42</v>
      </c>
      <c r="D7" s="70">
        <v>29.7</v>
      </c>
      <c r="E7" s="70">
        <v>0</v>
      </c>
      <c r="F7" s="70">
        <v>0</v>
      </c>
      <c r="G7" s="129">
        <v>8.4582999999999995</v>
      </c>
      <c r="H7" s="70" t="s">
        <v>2</v>
      </c>
    </row>
    <row r="8" spans="1:8">
      <c r="A8" s="70">
        <v>0</v>
      </c>
      <c r="B8" s="70">
        <v>1</v>
      </c>
      <c r="C8" s="70" t="s">
        <v>42</v>
      </c>
      <c r="D8" s="70">
        <v>54</v>
      </c>
      <c r="E8" s="70">
        <v>0</v>
      </c>
      <c r="F8" s="70">
        <v>0</v>
      </c>
      <c r="G8" s="129">
        <v>51.862499999999997</v>
      </c>
      <c r="H8" s="70" t="s">
        <v>0</v>
      </c>
    </row>
    <row r="9" spans="1:8">
      <c r="A9" s="70">
        <v>0</v>
      </c>
      <c r="B9" s="70">
        <v>3</v>
      </c>
      <c r="C9" s="70" t="s">
        <v>42</v>
      </c>
      <c r="D9" s="70">
        <v>2</v>
      </c>
      <c r="E9" s="70">
        <v>3</v>
      </c>
      <c r="F9" s="70">
        <v>1</v>
      </c>
      <c r="G9" s="129">
        <v>21.074999999999999</v>
      </c>
      <c r="H9" s="70" t="s">
        <v>0</v>
      </c>
    </row>
    <row r="10" spans="1:8">
      <c r="A10" s="70">
        <v>1</v>
      </c>
      <c r="B10" s="70">
        <v>3</v>
      </c>
      <c r="C10" s="70" t="s">
        <v>41</v>
      </c>
      <c r="D10" s="70">
        <v>27</v>
      </c>
      <c r="E10" s="70">
        <v>0</v>
      </c>
      <c r="F10" s="70">
        <v>2</v>
      </c>
      <c r="G10" s="129">
        <v>11.1333</v>
      </c>
      <c r="H10" s="70" t="s">
        <v>0</v>
      </c>
    </row>
    <row r="11" spans="1:8">
      <c r="A11" s="70">
        <v>1</v>
      </c>
      <c r="B11" s="70">
        <v>2</v>
      </c>
      <c r="C11" s="70" t="s">
        <v>41</v>
      </c>
      <c r="D11" s="70">
        <v>14</v>
      </c>
      <c r="E11" s="70">
        <v>1</v>
      </c>
      <c r="F11" s="70">
        <v>0</v>
      </c>
      <c r="G11" s="129">
        <v>30.070799999999998</v>
      </c>
      <c r="H11" s="70" t="s">
        <v>1</v>
      </c>
    </row>
    <row r="12" spans="1:8">
      <c r="A12" s="70">
        <v>1</v>
      </c>
      <c r="B12" s="70">
        <v>3</v>
      </c>
      <c r="C12" s="70" t="s">
        <v>41</v>
      </c>
      <c r="D12" s="70">
        <v>4</v>
      </c>
      <c r="E12" s="70">
        <v>1</v>
      </c>
      <c r="F12" s="70">
        <v>1</v>
      </c>
      <c r="G12" s="129">
        <v>16.7</v>
      </c>
      <c r="H12" s="70" t="s">
        <v>0</v>
      </c>
    </row>
    <row r="13" spans="1:8">
      <c r="A13" s="70">
        <v>1</v>
      </c>
      <c r="B13" s="70">
        <v>1</v>
      </c>
      <c r="C13" s="70" t="s">
        <v>41</v>
      </c>
      <c r="D13" s="70">
        <v>58</v>
      </c>
      <c r="E13" s="70">
        <v>0</v>
      </c>
      <c r="F13" s="70">
        <v>0</v>
      </c>
      <c r="G13" s="129">
        <v>26.55</v>
      </c>
      <c r="H13" s="70" t="s">
        <v>0</v>
      </c>
    </row>
    <row r="14" spans="1:8">
      <c r="A14" s="70">
        <v>0</v>
      </c>
      <c r="B14" s="70">
        <v>3</v>
      </c>
      <c r="C14" s="70" t="s">
        <v>42</v>
      </c>
      <c r="D14" s="70">
        <v>20</v>
      </c>
      <c r="E14" s="70">
        <v>0</v>
      </c>
      <c r="F14" s="70">
        <v>0</v>
      </c>
      <c r="G14" s="129">
        <v>8.0500000000000007</v>
      </c>
      <c r="H14" s="70" t="s">
        <v>0</v>
      </c>
    </row>
    <row r="15" spans="1:8">
      <c r="A15" s="70">
        <v>0</v>
      </c>
      <c r="B15" s="70">
        <v>3</v>
      </c>
      <c r="C15" s="70" t="s">
        <v>42</v>
      </c>
      <c r="D15" s="70">
        <v>39</v>
      </c>
      <c r="E15" s="70">
        <v>1</v>
      </c>
      <c r="F15" s="70">
        <v>5</v>
      </c>
      <c r="G15" s="129">
        <v>31.274999999999999</v>
      </c>
      <c r="H15" s="70" t="s">
        <v>0</v>
      </c>
    </row>
    <row r="16" spans="1:8">
      <c r="A16" s="70">
        <v>0</v>
      </c>
      <c r="B16" s="70">
        <v>3</v>
      </c>
      <c r="C16" s="70" t="s">
        <v>41</v>
      </c>
      <c r="D16" s="70">
        <v>14</v>
      </c>
      <c r="E16" s="70">
        <v>0</v>
      </c>
      <c r="F16" s="70">
        <v>0</v>
      </c>
      <c r="G16" s="129">
        <v>7.8541999999999996</v>
      </c>
      <c r="H16" s="70" t="s">
        <v>0</v>
      </c>
    </row>
    <row r="17" spans="1:8">
      <c r="A17" s="70">
        <v>1</v>
      </c>
      <c r="B17" s="70">
        <v>2</v>
      </c>
      <c r="C17" s="70" t="s">
        <v>41</v>
      </c>
      <c r="D17" s="70">
        <v>55</v>
      </c>
      <c r="E17" s="70">
        <v>0</v>
      </c>
      <c r="F17" s="70">
        <v>0</v>
      </c>
      <c r="G17" s="129">
        <v>16</v>
      </c>
      <c r="H17" s="70" t="s">
        <v>0</v>
      </c>
    </row>
    <row r="18" spans="1:8">
      <c r="A18" s="70">
        <v>0</v>
      </c>
      <c r="B18" s="70">
        <v>3</v>
      </c>
      <c r="C18" s="70" t="s">
        <v>42</v>
      </c>
      <c r="D18" s="70">
        <v>2</v>
      </c>
      <c r="E18" s="70">
        <v>4</v>
      </c>
      <c r="F18" s="70">
        <v>1</v>
      </c>
      <c r="G18" s="129">
        <v>29.125</v>
      </c>
      <c r="H18" s="70" t="s">
        <v>2</v>
      </c>
    </row>
    <row r="19" spans="1:8">
      <c r="A19" s="70">
        <v>1</v>
      </c>
      <c r="B19" s="70">
        <v>2</v>
      </c>
      <c r="C19" s="70" t="s">
        <v>42</v>
      </c>
      <c r="D19" s="70">
        <v>29.7</v>
      </c>
      <c r="E19" s="70">
        <v>0</v>
      </c>
      <c r="F19" s="70">
        <v>0</v>
      </c>
      <c r="G19" s="129">
        <v>13</v>
      </c>
      <c r="H19" s="70" t="s">
        <v>0</v>
      </c>
    </row>
    <row r="20" spans="1:8">
      <c r="A20" s="70">
        <v>0</v>
      </c>
      <c r="B20" s="70">
        <v>3</v>
      </c>
      <c r="C20" s="70" t="s">
        <v>41</v>
      </c>
      <c r="D20" s="70">
        <v>31</v>
      </c>
      <c r="E20" s="70">
        <v>1</v>
      </c>
      <c r="F20" s="70">
        <v>0</v>
      </c>
      <c r="G20" s="129">
        <v>18</v>
      </c>
      <c r="H20" s="70" t="s">
        <v>0</v>
      </c>
    </row>
    <row r="21" spans="1:8">
      <c r="A21" s="70">
        <v>1</v>
      </c>
      <c r="B21" s="70">
        <v>3</v>
      </c>
      <c r="C21" s="70" t="s">
        <v>41</v>
      </c>
      <c r="D21" s="70">
        <v>29.7</v>
      </c>
      <c r="E21" s="70">
        <v>0</v>
      </c>
      <c r="F21" s="70">
        <v>0</v>
      </c>
      <c r="G21" s="129">
        <v>7.2249999999999996</v>
      </c>
      <c r="H21" s="70" t="s">
        <v>1</v>
      </c>
    </row>
    <row r="22" spans="1:8">
      <c r="A22" s="70">
        <v>0</v>
      </c>
      <c r="B22" s="70">
        <v>2</v>
      </c>
      <c r="C22" s="70" t="s">
        <v>42</v>
      </c>
      <c r="D22" s="70">
        <v>35</v>
      </c>
      <c r="E22" s="70">
        <v>0</v>
      </c>
      <c r="F22" s="70">
        <v>0</v>
      </c>
      <c r="G22" s="129">
        <v>26</v>
      </c>
      <c r="H22" s="70" t="s">
        <v>0</v>
      </c>
    </row>
    <row r="23" spans="1:8">
      <c r="A23" s="70">
        <v>1</v>
      </c>
      <c r="B23" s="70">
        <v>2</v>
      </c>
      <c r="C23" s="70" t="s">
        <v>42</v>
      </c>
      <c r="D23" s="70">
        <v>34</v>
      </c>
      <c r="E23" s="70">
        <v>0</v>
      </c>
      <c r="F23" s="70">
        <v>0</v>
      </c>
      <c r="G23" s="129">
        <v>13</v>
      </c>
      <c r="H23" s="70" t="s">
        <v>0</v>
      </c>
    </row>
    <row r="24" spans="1:8">
      <c r="A24" s="70">
        <v>1</v>
      </c>
      <c r="B24" s="70">
        <v>3</v>
      </c>
      <c r="C24" s="70" t="s">
        <v>41</v>
      </c>
      <c r="D24" s="70">
        <v>15</v>
      </c>
      <c r="E24" s="70">
        <v>0</v>
      </c>
      <c r="F24" s="70">
        <v>0</v>
      </c>
      <c r="G24" s="129">
        <v>8.0291999999999994</v>
      </c>
      <c r="H24" s="70" t="s">
        <v>2</v>
      </c>
    </row>
    <row r="25" spans="1:8">
      <c r="A25" s="70">
        <v>1</v>
      </c>
      <c r="B25" s="70">
        <v>1</v>
      </c>
      <c r="C25" s="70" t="s">
        <v>42</v>
      </c>
      <c r="D25" s="70">
        <v>28</v>
      </c>
      <c r="E25" s="70">
        <v>0</v>
      </c>
      <c r="F25" s="70">
        <v>0</v>
      </c>
      <c r="G25" s="129">
        <v>35.5</v>
      </c>
      <c r="H25" s="70" t="s">
        <v>0</v>
      </c>
    </row>
    <row r="26" spans="1:8">
      <c r="A26" s="70">
        <v>0</v>
      </c>
      <c r="B26" s="70">
        <v>3</v>
      </c>
      <c r="C26" s="70" t="s">
        <v>41</v>
      </c>
      <c r="D26" s="70">
        <v>8</v>
      </c>
      <c r="E26" s="70">
        <v>3</v>
      </c>
      <c r="F26" s="70">
        <v>1</v>
      </c>
      <c r="G26" s="129">
        <v>21.074999999999999</v>
      </c>
      <c r="H26" s="70" t="s">
        <v>0</v>
      </c>
    </row>
    <row r="27" spans="1:8">
      <c r="A27" s="70">
        <v>1</v>
      </c>
      <c r="B27" s="70">
        <v>3</v>
      </c>
      <c r="C27" s="70" t="s">
        <v>41</v>
      </c>
      <c r="D27" s="70">
        <v>38</v>
      </c>
      <c r="E27" s="70">
        <v>1</v>
      </c>
      <c r="F27" s="70">
        <v>5</v>
      </c>
      <c r="G27" s="129">
        <v>31.387499999999999</v>
      </c>
      <c r="H27" s="70" t="s">
        <v>0</v>
      </c>
    </row>
    <row r="28" spans="1:8">
      <c r="A28" s="70">
        <v>0</v>
      </c>
      <c r="B28" s="70">
        <v>3</v>
      </c>
      <c r="C28" s="70" t="s">
        <v>42</v>
      </c>
      <c r="D28" s="70">
        <v>29.7</v>
      </c>
      <c r="E28" s="70">
        <v>0</v>
      </c>
      <c r="F28" s="70">
        <v>0</v>
      </c>
      <c r="G28" s="129">
        <v>7.2249999999999996</v>
      </c>
      <c r="H28" s="70" t="s">
        <v>1</v>
      </c>
    </row>
    <row r="29" spans="1:8">
      <c r="A29" s="70">
        <v>0</v>
      </c>
      <c r="B29" s="70">
        <v>1</v>
      </c>
      <c r="C29" s="70" t="s">
        <v>42</v>
      </c>
      <c r="D29" s="70">
        <v>19</v>
      </c>
      <c r="E29" s="70">
        <v>3</v>
      </c>
      <c r="F29" s="70">
        <v>2</v>
      </c>
      <c r="G29" s="129">
        <v>263</v>
      </c>
      <c r="H29" s="70" t="s">
        <v>0</v>
      </c>
    </row>
    <row r="30" spans="1:8">
      <c r="A30" s="70">
        <v>1</v>
      </c>
      <c r="B30" s="70">
        <v>3</v>
      </c>
      <c r="C30" s="70" t="s">
        <v>41</v>
      </c>
      <c r="D30" s="70">
        <v>29.7</v>
      </c>
      <c r="E30" s="70">
        <v>0</v>
      </c>
      <c r="F30" s="70">
        <v>0</v>
      </c>
      <c r="G30" s="129">
        <v>7.8792</v>
      </c>
      <c r="H30" s="70" t="s">
        <v>2</v>
      </c>
    </row>
    <row r="31" spans="1:8">
      <c r="A31" s="70">
        <v>0</v>
      </c>
      <c r="B31" s="70">
        <v>3</v>
      </c>
      <c r="C31" s="70" t="s">
        <v>42</v>
      </c>
      <c r="D31" s="70">
        <v>29.7</v>
      </c>
      <c r="E31" s="70">
        <v>0</v>
      </c>
      <c r="F31" s="70">
        <v>0</v>
      </c>
      <c r="G31" s="129">
        <v>7.8958000000000004</v>
      </c>
      <c r="H31" s="70" t="s">
        <v>0</v>
      </c>
    </row>
    <row r="32" spans="1:8">
      <c r="A32" s="70">
        <v>0</v>
      </c>
      <c r="B32" s="70">
        <v>1</v>
      </c>
      <c r="C32" s="70" t="s">
        <v>42</v>
      </c>
      <c r="D32" s="70">
        <v>40</v>
      </c>
      <c r="E32" s="70">
        <v>0</v>
      </c>
      <c r="F32" s="70">
        <v>0</v>
      </c>
      <c r="G32" s="129">
        <v>27.720800000000001</v>
      </c>
      <c r="H32" s="70" t="s">
        <v>1</v>
      </c>
    </row>
    <row r="33" spans="1:8">
      <c r="A33" s="70">
        <v>1</v>
      </c>
      <c r="B33" s="70">
        <v>1</v>
      </c>
      <c r="C33" s="70" t="s">
        <v>41</v>
      </c>
      <c r="D33" s="70">
        <v>29.7</v>
      </c>
      <c r="E33" s="70">
        <v>1</v>
      </c>
      <c r="F33" s="70">
        <v>0</v>
      </c>
      <c r="G33" s="129">
        <v>146.52080000000001</v>
      </c>
      <c r="H33" s="70" t="s">
        <v>1</v>
      </c>
    </row>
    <row r="34" spans="1:8">
      <c r="A34" s="70">
        <v>1</v>
      </c>
      <c r="B34" s="70">
        <v>3</v>
      </c>
      <c r="C34" s="70" t="s">
        <v>41</v>
      </c>
      <c r="D34" s="70">
        <v>29.7</v>
      </c>
      <c r="E34" s="70">
        <v>0</v>
      </c>
      <c r="F34" s="70">
        <v>0</v>
      </c>
      <c r="G34" s="129">
        <v>7.75</v>
      </c>
      <c r="H34" s="70" t="s">
        <v>2</v>
      </c>
    </row>
    <row r="35" spans="1:8">
      <c r="A35" s="70">
        <v>0</v>
      </c>
      <c r="B35" s="70">
        <v>2</v>
      </c>
      <c r="C35" s="70" t="s">
        <v>42</v>
      </c>
      <c r="D35" s="70">
        <v>66</v>
      </c>
      <c r="E35" s="70">
        <v>0</v>
      </c>
      <c r="F35" s="70">
        <v>0</v>
      </c>
      <c r="G35" s="129">
        <v>10.5</v>
      </c>
      <c r="H35" s="70" t="s">
        <v>0</v>
      </c>
    </row>
    <row r="36" spans="1:8">
      <c r="A36" s="70">
        <v>0</v>
      </c>
      <c r="B36" s="70">
        <v>1</v>
      </c>
      <c r="C36" s="70" t="s">
        <v>42</v>
      </c>
      <c r="D36" s="70">
        <v>28</v>
      </c>
      <c r="E36" s="70">
        <v>1</v>
      </c>
      <c r="F36" s="70">
        <v>0</v>
      </c>
      <c r="G36" s="129">
        <v>82.1708</v>
      </c>
      <c r="H36" s="70" t="s">
        <v>1</v>
      </c>
    </row>
    <row r="37" spans="1:8">
      <c r="A37" s="70">
        <v>0</v>
      </c>
      <c r="B37" s="70">
        <v>1</v>
      </c>
      <c r="C37" s="70" t="s">
        <v>42</v>
      </c>
      <c r="D37" s="70">
        <v>42</v>
      </c>
      <c r="E37" s="70">
        <v>1</v>
      </c>
      <c r="F37" s="70">
        <v>0</v>
      </c>
      <c r="G37" s="129">
        <v>52</v>
      </c>
      <c r="H37" s="70" t="s">
        <v>0</v>
      </c>
    </row>
    <row r="38" spans="1:8">
      <c r="A38" s="70">
        <v>1</v>
      </c>
      <c r="B38" s="70">
        <v>3</v>
      </c>
      <c r="C38" s="70" t="s">
        <v>42</v>
      </c>
      <c r="D38" s="70">
        <v>29.7</v>
      </c>
      <c r="E38" s="70">
        <v>0</v>
      </c>
      <c r="F38" s="70">
        <v>0</v>
      </c>
      <c r="G38" s="129">
        <v>7.2291999999999996</v>
      </c>
      <c r="H38" s="70" t="s">
        <v>1</v>
      </c>
    </row>
    <row r="39" spans="1:8">
      <c r="A39" s="70">
        <v>0</v>
      </c>
      <c r="B39" s="70">
        <v>3</v>
      </c>
      <c r="C39" s="70" t="s">
        <v>42</v>
      </c>
      <c r="D39" s="70">
        <v>21</v>
      </c>
      <c r="E39" s="70">
        <v>0</v>
      </c>
      <c r="F39" s="70">
        <v>0</v>
      </c>
      <c r="G39" s="129">
        <v>8.0500000000000007</v>
      </c>
      <c r="H39" s="70" t="s">
        <v>0</v>
      </c>
    </row>
    <row r="40" spans="1:8">
      <c r="A40" s="70">
        <v>0</v>
      </c>
      <c r="B40" s="70">
        <v>3</v>
      </c>
      <c r="C40" s="70" t="s">
        <v>41</v>
      </c>
      <c r="D40" s="70">
        <v>18</v>
      </c>
      <c r="E40" s="70">
        <v>2</v>
      </c>
      <c r="F40" s="70">
        <v>0</v>
      </c>
      <c r="G40" s="129">
        <v>18</v>
      </c>
      <c r="H40" s="70" t="s">
        <v>0</v>
      </c>
    </row>
    <row r="41" spans="1:8">
      <c r="A41" s="70">
        <v>1</v>
      </c>
      <c r="B41" s="70">
        <v>3</v>
      </c>
      <c r="C41" s="70" t="s">
        <v>41</v>
      </c>
      <c r="D41" s="70">
        <v>14</v>
      </c>
      <c r="E41" s="70">
        <v>1</v>
      </c>
      <c r="F41" s="70">
        <v>0</v>
      </c>
      <c r="G41" s="129">
        <v>11.2417</v>
      </c>
      <c r="H41" s="70" t="s">
        <v>1</v>
      </c>
    </row>
    <row r="42" spans="1:8">
      <c r="A42" s="70">
        <v>0</v>
      </c>
      <c r="B42" s="70">
        <v>3</v>
      </c>
      <c r="C42" s="70" t="s">
        <v>41</v>
      </c>
      <c r="D42" s="70">
        <v>40</v>
      </c>
      <c r="E42" s="70">
        <v>1</v>
      </c>
      <c r="F42" s="70">
        <v>0</v>
      </c>
      <c r="G42" s="129">
        <v>9.4749999999999996</v>
      </c>
      <c r="H42" s="70" t="s">
        <v>0</v>
      </c>
    </row>
    <row r="43" spans="1:8">
      <c r="A43" s="70">
        <v>0</v>
      </c>
      <c r="B43" s="70">
        <v>2</v>
      </c>
      <c r="C43" s="70" t="s">
        <v>41</v>
      </c>
      <c r="D43" s="70">
        <v>27</v>
      </c>
      <c r="E43" s="70">
        <v>1</v>
      </c>
      <c r="F43" s="70">
        <v>0</v>
      </c>
      <c r="G43" s="129">
        <v>21</v>
      </c>
      <c r="H43" s="70" t="s">
        <v>0</v>
      </c>
    </row>
    <row r="44" spans="1:8">
      <c r="A44" s="70">
        <v>0</v>
      </c>
      <c r="B44" s="70">
        <v>3</v>
      </c>
      <c r="C44" s="70" t="s">
        <v>42</v>
      </c>
      <c r="D44" s="70">
        <v>29.7</v>
      </c>
      <c r="E44" s="70">
        <v>0</v>
      </c>
      <c r="F44" s="70">
        <v>0</v>
      </c>
      <c r="G44" s="129">
        <v>7.8958000000000004</v>
      </c>
      <c r="H44" s="70" t="s">
        <v>1</v>
      </c>
    </row>
    <row r="45" spans="1:8">
      <c r="A45" s="70">
        <v>1</v>
      </c>
      <c r="B45" s="70">
        <v>2</v>
      </c>
      <c r="C45" s="70" t="s">
        <v>41</v>
      </c>
      <c r="D45" s="70">
        <v>3</v>
      </c>
      <c r="E45" s="70">
        <v>1</v>
      </c>
      <c r="F45" s="70">
        <v>2</v>
      </c>
      <c r="G45" s="129">
        <v>41.5792</v>
      </c>
      <c r="H45" s="70" t="s">
        <v>1</v>
      </c>
    </row>
    <row r="46" spans="1:8">
      <c r="A46" s="70">
        <v>1</v>
      </c>
      <c r="B46" s="70">
        <v>3</v>
      </c>
      <c r="C46" s="70" t="s">
        <v>41</v>
      </c>
      <c r="D46" s="70">
        <v>19</v>
      </c>
      <c r="E46" s="70">
        <v>0</v>
      </c>
      <c r="F46" s="70">
        <v>0</v>
      </c>
      <c r="G46" s="129">
        <v>7.8792</v>
      </c>
      <c r="H46" s="70" t="s">
        <v>2</v>
      </c>
    </row>
    <row r="47" spans="1:8">
      <c r="A47" s="70">
        <v>0</v>
      </c>
      <c r="B47" s="70">
        <v>3</v>
      </c>
      <c r="C47" s="70" t="s">
        <v>42</v>
      </c>
      <c r="D47" s="70">
        <v>29.7</v>
      </c>
      <c r="E47" s="70">
        <v>0</v>
      </c>
      <c r="F47" s="70">
        <v>0</v>
      </c>
      <c r="G47" s="129">
        <v>8.0500000000000007</v>
      </c>
      <c r="H47" s="70" t="s">
        <v>0</v>
      </c>
    </row>
    <row r="48" spans="1:8">
      <c r="A48" s="70">
        <v>0</v>
      </c>
      <c r="B48" s="70">
        <v>3</v>
      </c>
      <c r="C48" s="70" t="s">
        <v>42</v>
      </c>
      <c r="D48" s="70">
        <v>29.7</v>
      </c>
      <c r="E48" s="70">
        <v>1</v>
      </c>
      <c r="F48" s="70">
        <v>0</v>
      </c>
      <c r="G48" s="129">
        <v>15.5</v>
      </c>
      <c r="H48" s="70" t="s">
        <v>2</v>
      </c>
    </row>
    <row r="49" spans="1:8">
      <c r="A49" s="70">
        <v>1</v>
      </c>
      <c r="B49" s="70">
        <v>3</v>
      </c>
      <c r="C49" s="70" t="s">
        <v>41</v>
      </c>
      <c r="D49" s="70">
        <v>29.7</v>
      </c>
      <c r="E49" s="70">
        <v>0</v>
      </c>
      <c r="F49" s="70">
        <v>0</v>
      </c>
      <c r="G49" s="129">
        <v>7.75</v>
      </c>
      <c r="H49" s="70" t="s">
        <v>2</v>
      </c>
    </row>
    <row r="50" spans="1:8">
      <c r="A50" s="70">
        <v>0</v>
      </c>
      <c r="B50" s="70">
        <v>3</v>
      </c>
      <c r="C50" s="70" t="s">
        <v>42</v>
      </c>
      <c r="D50" s="70">
        <v>29.7</v>
      </c>
      <c r="E50" s="70">
        <v>2</v>
      </c>
      <c r="F50" s="70">
        <v>0</v>
      </c>
      <c r="G50" s="129">
        <v>21.679200000000002</v>
      </c>
      <c r="H50" s="70" t="s">
        <v>1</v>
      </c>
    </row>
    <row r="51" spans="1:8">
      <c r="A51" s="70">
        <v>0</v>
      </c>
      <c r="B51" s="70">
        <v>3</v>
      </c>
      <c r="C51" s="70" t="s">
        <v>41</v>
      </c>
      <c r="D51" s="70">
        <v>18</v>
      </c>
      <c r="E51" s="70">
        <v>1</v>
      </c>
      <c r="F51" s="70">
        <v>0</v>
      </c>
      <c r="G51" s="129">
        <v>17.8</v>
      </c>
      <c r="H51" s="70" t="s">
        <v>0</v>
      </c>
    </row>
    <row r="52" spans="1:8">
      <c r="A52" s="70">
        <v>0</v>
      </c>
      <c r="B52" s="70">
        <v>3</v>
      </c>
      <c r="C52" s="70" t="s">
        <v>42</v>
      </c>
      <c r="D52" s="70">
        <v>7</v>
      </c>
      <c r="E52" s="70">
        <v>4</v>
      </c>
      <c r="F52" s="70">
        <v>1</v>
      </c>
      <c r="G52" s="129">
        <v>39.6875</v>
      </c>
      <c r="H52" s="70" t="s">
        <v>0</v>
      </c>
    </row>
    <row r="53" spans="1:8">
      <c r="A53" s="70">
        <v>0</v>
      </c>
      <c r="B53" s="70">
        <v>3</v>
      </c>
      <c r="C53" s="70" t="s">
        <v>42</v>
      </c>
      <c r="D53" s="70">
        <v>21</v>
      </c>
      <c r="E53" s="70">
        <v>0</v>
      </c>
      <c r="F53" s="70">
        <v>0</v>
      </c>
      <c r="G53" s="129">
        <v>7.8</v>
      </c>
      <c r="H53" s="70" t="s">
        <v>0</v>
      </c>
    </row>
    <row r="54" spans="1:8">
      <c r="A54" s="70">
        <v>1</v>
      </c>
      <c r="B54" s="70">
        <v>1</v>
      </c>
      <c r="C54" s="70" t="s">
        <v>41</v>
      </c>
      <c r="D54" s="70">
        <v>49</v>
      </c>
      <c r="E54" s="70">
        <v>1</v>
      </c>
      <c r="F54" s="70">
        <v>0</v>
      </c>
      <c r="G54" s="129">
        <v>76.729200000000006</v>
      </c>
      <c r="H54" s="70" t="s">
        <v>1</v>
      </c>
    </row>
    <row r="55" spans="1:8">
      <c r="A55" s="70">
        <v>1</v>
      </c>
      <c r="B55" s="70">
        <v>2</v>
      </c>
      <c r="C55" s="70" t="s">
        <v>41</v>
      </c>
      <c r="D55" s="70">
        <v>29</v>
      </c>
      <c r="E55" s="70">
        <v>1</v>
      </c>
      <c r="F55" s="70">
        <v>0</v>
      </c>
      <c r="G55" s="129">
        <v>26</v>
      </c>
      <c r="H55" s="70" t="s">
        <v>0</v>
      </c>
    </row>
    <row r="56" spans="1:8">
      <c r="A56" s="70">
        <v>0</v>
      </c>
      <c r="B56" s="70">
        <v>1</v>
      </c>
      <c r="C56" s="70" t="s">
        <v>42</v>
      </c>
      <c r="D56" s="70">
        <v>65</v>
      </c>
      <c r="E56" s="70">
        <v>0</v>
      </c>
      <c r="F56" s="70">
        <v>1</v>
      </c>
      <c r="G56" s="129">
        <v>61.979199999999999</v>
      </c>
      <c r="H56" s="70" t="s">
        <v>1</v>
      </c>
    </row>
    <row r="57" spans="1:8">
      <c r="A57" s="70">
        <v>1</v>
      </c>
      <c r="B57" s="70">
        <v>1</v>
      </c>
      <c r="C57" s="70" t="s">
        <v>42</v>
      </c>
      <c r="D57" s="70">
        <v>29.7</v>
      </c>
      <c r="E57" s="70">
        <v>0</v>
      </c>
      <c r="F57" s="70">
        <v>0</v>
      </c>
      <c r="G57" s="129">
        <v>35.5</v>
      </c>
      <c r="H57" s="70" t="s">
        <v>0</v>
      </c>
    </row>
    <row r="58" spans="1:8">
      <c r="A58" s="70">
        <v>1</v>
      </c>
      <c r="B58" s="70">
        <v>2</v>
      </c>
      <c r="C58" s="70" t="s">
        <v>41</v>
      </c>
      <c r="D58" s="70">
        <v>21</v>
      </c>
      <c r="E58" s="70">
        <v>0</v>
      </c>
      <c r="F58" s="70">
        <v>0</v>
      </c>
      <c r="G58" s="129">
        <v>10.5</v>
      </c>
      <c r="H58" s="70" t="s">
        <v>0</v>
      </c>
    </row>
    <row r="59" spans="1:8">
      <c r="A59" s="70">
        <v>0</v>
      </c>
      <c r="B59" s="70">
        <v>3</v>
      </c>
      <c r="C59" s="70" t="s">
        <v>42</v>
      </c>
      <c r="D59" s="70">
        <v>28.5</v>
      </c>
      <c r="E59" s="70">
        <v>0</v>
      </c>
      <c r="F59" s="70">
        <v>0</v>
      </c>
      <c r="G59" s="129">
        <v>7.2291999999999996</v>
      </c>
      <c r="H59" s="70" t="s">
        <v>1</v>
      </c>
    </row>
    <row r="60" spans="1:8">
      <c r="A60" s="70">
        <v>1</v>
      </c>
      <c r="B60" s="70">
        <v>2</v>
      </c>
      <c r="C60" s="70" t="s">
        <v>41</v>
      </c>
      <c r="D60" s="70">
        <v>5</v>
      </c>
      <c r="E60" s="70">
        <v>1</v>
      </c>
      <c r="F60" s="70">
        <v>2</v>
      </c>
      <c r="G60" s="129">
        <v>27.75</v>
      </c>
      <c r="H60" s="70" t="s">
        <v>0</v>
      </c>
    </row>
    <row r="61" spans="1:8">
      <c r="A61" s="70">
        <v>0</v>
      </c>
      <c r="B61" s="70">
        <v>3</v>
      </c>
      <c r="C61" s="70" t="s">
        <v>42</v>
      </c>
      <c r="D61" s="70">
        <v>11</v>
      </c>
      <c r="E61" s="70">
        <v>5</v>
      </c>
      <c r="F61" s="70">
        <v>2</v>
      </c>
      <c r="G61" s="129">
        <v>46.9</v>
      </c>
      <c r="H61" s="70" t="s">
        <v>0</v>
      </c>
    </row>
    <row r="62" spans="1:8">
      <c r="A62" s="70">
        <v>0</v>
      </c>
      <c r="B62" s="70">
        <v>3</v>
      </c>
      <c r="C62" s="70" t="s">
        <v>42</v>
      </c>
      <c r="D62" s="70">
        <v>22</v>
      </c>
      <c r="E62" s="70">
        <v>0</v>
      </c>
      <c r="F62" s="70">
        <v>0</v>
      </c>
      <c r="G62" s="129">
        <v>7.2291999999999996</v>
      </c>
      <c r="H62" s="70" t="s">
        <v>1</v>
      </c>
    </row>
    <row r="63" spans="1:8">
      <c r="A63" s="70">
        <v>0</v>
      </c>
      <c r="B63" s="70">
        <v>1</v>
      </c>
      <c r="C63" s="70" t="s">
        <v>42</v>
      </c>
      <c r="D63" s="70">
        <v>45</v>
      </c>
      <c r="E63" s="70">
        <v>1</v>
      </c>
      <c r="F63" s="70">
        <v>0</v>
      </c>
      <c r="G63" s="129">
        <v>83.474999999999994</v>
      </c>
      <c r="H63" s="70" t="s">
        <v>0</v>
      </c>
    </row>
    <row r="64" spans="1:8">
      <c r="A64" s="70">
        <v>0</v>
      </c>
      <c r="B64" s="70">
        <v>3</v>
      </c>
      <c r="C64" s="70" t="s">
        <v>42</v>
      </c>
      <c r="D64" s="70">
        <v>4</v>
      </c>
      <c r="E64" s="70">
        <v>3</v>
      </c>
      <c r="F64" s="70">
        <v>2</v>
      </c>
      <c r="G64" s="129">
        <v>27.9</v>
      </c>
      <c r="H64" s="70" t="s">
        <v>0</v>
      </c>
    </row>
    <row r="65" spans="1:8">
      <c r="A65" s="70">
        <v>0</v>
      </c>
      <c r="B65" s="70">
        <v>1</v>
      </c>
      <c r="C65" s="70" t="s">
        <v>42</v>
      </c>
      <c r="D65" s="70">
        <v>29.7</v>
      </c>
      <c r="E65" s="70">
        <v>0</v>
      </c>
      <c r="F65" s="70">
        <v>0</v>
      </c>
      <c r="G65" s="129">
        <v>27.720800000000001</v>
      </c>
      <c r="H65" s="70" t="s">
        <v>1</v>
      </c>
    </row>
    <row r="66" spans="1:8">
      <c r="A66" s="70">
        <v>1</v>
      </c>
      <c r="B66" s="70">
        <v>3</v>
      </c>
      <c r="C66" s="70" t="s">
        <v>42</v>
      </c>
      <c r="D66" s="70">
        <v>29.7</v>
      </c>
      <c r="E66" s="70">
        <v>1</v>
      </c>
      <c r="F66" s="70">
        <v>1</v>
      </c>
      <c r="G66" s="129">
        <v>15.245799999999999</v>
      </c>
      <c r="H66" s="70" t="s">
        <v>1</v>
      </c>
    </row>
    <row r="67" spans="1:8">
      <c r="A67" s="70">
        <v>1</v>
      </c>
      <c r="B67" s="70">
        <v>2</v>
      </c>
      <c r="C67" s="70" t="s">
        <v>41</v>
      </c>
      <c r="D67" s="70">
        <v>29</v>
      </c>
      <c r="E67" s="70">
        <v>0</v>
      </c>
      <c r="F67" s="70">
        <v>0</v>
      </c>
      <c r="G67" s="129">
        <v>10.5</v>
      </c>
      <c r="H67" s="70" t="s">
        <v>0</v>
      </c>
    </row>
    <row r="68" spans="1:8">
      <c r="A68" s="70">
        <v>0</v>
      </c>
      <c r="B68" s="70">
        <v>3</v>
      </c>
      <c r="C68" s="70" t="s">
        <v>42</v>
      </c>
      <c r="D68" s="70">
        <v>19</v>
      </c>
      <c r="E68" s="70">
        <v>0</v>
      </c>
      <c r="F68" s="70">
        <v>0</v>
      </c>
      <c r="G68" s="129">
        <v>8.1583000000000006</v>
      </c>
      <c r="H68" s="70" t="s">
        <v>0</v>
      </c>
    </row>
    <row r="69" spans="1:8">
      <c r="A69" s="70">
        <v>1</v>
      </c>
      <c r="B69" s="70">
        <v>3</v>
      </c>
      <c r="C69" s="70" t="s">
        <v>41</v>
      </c>
      <c r="D69" s="70">
        <v>17</v>
      </c>
      <c r="E69" s="70">
        <v>4</v>
      </c>
      <c r="F69" s="70">
        <v>2</v>
      </c>
      <c r="G69" s="129">
        <v>7.9249999999999998</v>
      </c>
      <c r="H69" s="70" t="s">
        <v>0</v>
      </c>
    </row>
    <row r="70" spans="1:8">
      <c r="A70" s="70">
        <v>0</v>
      </c>
      <c r="B70" s="70">
        <v>3</v>
      </c>
      <c r="C70" s="70" t="s">
        <v>42</v>
      </c>
      <c r="D70" s="70">
        <v>26</v>
      </c>
      <c r="E70" s="70">
        <v>2</v>
      </c>
      <c r="F70" s="70">
        <v>0</v>
      </c>
      <c r="G70" s="129">
        <v>8.6624999999999996</v>
      </c>
      <c r="H70" s="70" t="s">
        <v>0</v>
      </c>
    </row>
    <row r="71" spans="1:8">
      <c r="A71" s="70">
        <v>0</v>
      </c>
      <c r="B71" s="70">
        <v>2</v>
      </c>
      <c r="C71" s="70" t="s">
        <v>42</v>
      </c>
      <c r="D71" s="70">
        <v>32</v>
      </c>
      <c r="E71" s="70">
        <v>0</v>
      </c>
      <c r="F71" s="70">
        <v>0</v>
      </c>
      <c r="G71" s="129">
        <v>10.5</v>
      </c>
      <c r="H71" s="70" t="s">
        <v>0</v>
      </c>
    </row>
    <row r="72" spans="1:8">
      <c r="A72" s="70">
        <v>0</v>
      </c>
      <c r="B72" s="70">
        <v>3</v>
      </c>
      <c r="C72" s="70" t="s">
        <v>41</v>
      </c>
      <c r="D72" s="70">
        <v>16</v>
      </c>
      <c r="E72" s="70">
        <v>5</v>
      </c>
      <c r="F72" s="70">
        <v>2</v>
      </c>
      <c r="G72" s="129">
        <v>46.9</v>
      </c>
      <c r="H72" s="70" t="s">
        <v>0</v>
      </c>
    </row>
    <row r="73" spans="1:8">
      <c r="A73" s="70">
        <v>0</v>
      </c>
      <c r="B73" s="70">
        <v>2</v>
      </c>
      <c r="C73" s="70" t="s">
        <v>42</v>
      </c>
      <c r="D73" s="70">
        <v>21</v>
      </c>
      <c r="E73" s="70">
        <v>0</v>
      </c>
      <c r="F73" s="70">
        <v>0</v>
      </c>
      <c r="G73" s="129">
        <v>73.5</v>
      </c>
      <c r="H73" s="70" t="s">
        <v>0</v>
      </c>
    </row>
    <row r="74" spans="1:8">
      <c r="A74" s="70">
        <v>0</v>
      </c>
      <c r="B74" s="70">
        <v>3</v>
      </c>
      <c r="C74" s="70" t="s">
        <v>42</v>
      </c>
      <c r="D74" s="70">
        <v>26</v>
      </c>
      <c r="E74" s="70">
        <v>1</v>
      </c>
      <c r="F74" s="70">
        <v>0</v>
      </c>
      <c r="G74" s="129">
        <v>14.4542</v>
      </c>
      <c r="H74" s="70" t="s">
        <v>1</v>
      </c>
    </row>
    <row r="75" spans="1:8">
      <c r="A75" s="70">
        <v>1</v>
      </c>
      <c r="B75" s="70">
        <v>3</v>
      </c>
      <c r="C75" s="70" t="s">
        <v>42</v>
      </c>
      <c r="D75" s="70">
        <v>32</v>
      </c>
      <c r="E75" s="70">
        <v>0</v>
      </c>
      <c r="F75" s="70">
        <v>0</v>
      </c>
      <c r="G75" s="129">
        <v>56.495800000000003</v>
      </c>
      <c r="H75" s="70" t="s">
        <v>0</v>
      </c>
    </row>
    <row r="76" spans="1:8">
      <c r="A76" s="70">
        <v>0</v>
      </c>
      <c r="B76" s="70">
        <v>3</v>
      </c>
      <c r="C76" s="70" t="s">
        <v>42</v>
      </c>
      <c r="D76" s="70">
        <v>25</v>
      </c>
      <c r="E76" s="70">
        <v>0</v>
      </c>
      <c r="F76" s="70">
        <v>0</v>
      </c>
      <c r="G76" s="129">
        <v>7.65</v>
      </c>
      <c r="H76" s="70" t="s">
        <v>0</v>
      </c>
    </row>
    <row r="77" spans="1:8">
      <c r="A77" s="70">
        <v>0</v>
      </c>
      <c r="B77" s="70">
        <v>3</v>
      </c>
      <c r="C77" s="70" t="s">
        <v>42</v>
      </c>
      <c r="D77" s="70">
        <v>29.7</v>
      </c>
      <c r="E77" s="70">
        <v>0</v>
      </c>
      <c r="F77" s="70">
        <v>0</v>
      </c>
      <c r="G77" s="129">
        <v>7.8958000000000004</v>
      </c>
      <c r="H77" s="70" t="s">
        <v>0</v>
      </c>
    </row>
    <row r="78" spans="1:8">
      <c r="A78" s="70">
        <v>0</v>
      </c>
      <c r="B78" s="70">
        <v>3</v>
      </c>
      <c r="C78" s="70" t="s">
        <v>42</v>
      </c>
      <c r="D78" s="70">
        <v>29.7</v>
      </c>
      <c r="E78" s="70">
        <v>0</v>
      </c>
      <c r="F78" s="70">
        <v>0</v>
      </c>
      <c r="G78" s="129">
        <v>8.0500000000000007</v>
      </c>
      <c r="H78" s="70" t="s">
        <v>0</v>
      </c>
    </row>
    <row r="79" spans="1:8">
      <c r="A79" s="70">
        <v>1</v>
      </c>
      <c r="B79" s="70">
        <v>2</v>
      </c>
      <c r="C79" s="70" t="s">
        <v>42</v>
      </c>
      <c r="D79" s="70">
        <v>0.83</v>
      </c>
      <c r="E79" s="70">
        <v>0</v>
      </c>
      <c r="F79" s="70">
        <v>2</v>
      </c>
      <c r="G79" s="129">
        <v>29</v>
      </c>
      <c r="H79" s="70" t="s">
        <v>0</v>
      </c>
    </row>
    <row r="80" spans="1:8">
      <c r="A80" s="70">
        <v>1</v>
      </c>
      <c r="B80" s="70">
        <v>3</v>
      </c>
      <c r="C80" s="70" t="s">
        <v>41</v>
      </c>
      <c r="D80" s="70">
        <v>30</v>
      </c>
      <c r="E80" s="70">
        <v>0</v>
      </c>
      <c r="F80" s="70">
        <v>0</v>
      </c>
      <c r="G80" s="129">
        <v>12.475</v>
      </c>
      <c r="H80" s="70" t="s">
        <v>0</v>
      </c>
    </row>
    <row r="81" spans="1:8">
      <c r="A81" s="70">
        <v>0</v>
      </c>
      <c r="B81" s="70">
        <v>3</v>
      </c>
      <c r="C81" s="70" t="s">
        <v>42</v>
      </c>
      <c r="D81" s="70">
        <v>22</v>
      </c>
      <c r="E81" s="70">
        <v>0</v>
      </c>
      <c r="F81" s="70">
        <v>0</v>
      </c>
      <c r="G81" s="129">
        <v>9</v>
      </c>
      <c r="H81" s="70" t="s">
        <v>0</v>
      </c>
    </row>
    <row r="82" spans="1:8">
      <c r="A82" s="70">
        <v>1</v>
      </c>
      <c r="B82" s="70">
        <v>3</v>
      </c>
      <c r="C82" s="70" t="s">
        <v>42</v>
      </c>
      <c r="D82" s="70">
        <v>29</v>
      </c>
      <c r="E82" s="70">
        <v>0</v>
      </c>
      <c r="F82" s="70">
        <v>0</v>
      </c>
      <c r="G82" s="129">
        <v>9.5</v>
      </c>
      <c r="H82" s="70" t="s">
        <v>0</v>
      </c>
    </row>
    <row r="83" spans="1:8">
      <c r="A83" s="70">
        <v>1</v>
      </c>
      <c r="B83" s="70">
        <v>3</v>
      </c>
      <c r="C83" s="70" t="s">
        <v>41</v>
      </c>
      <c r="D83" s="70">
        <v>29.7</v>
      </c>
      <c r="E83" s="70">
        <v>0</v>
      </c>
      <c r="F83" s="70">
        <v>0</v>
      </c>
      <c r="G83" s="129">
        <v>7.7874999999999996</v>
      </c>
      <c r="H83" s="70" t="s">
        <v>2</v>
      </c>
    </row>
    <row r="84" spans="1:8">
      <c r="A84" s="70">
        <v>0</v>
      </c>
      <c r="B84" s="70">
        <v>1</v>
      </c>
      <c r="C84" s="70" t="s">
        <v>42</v>
      </c>
      <c r="D84" s="70">
        <v>28</v>
      </c>
      <c r="E84" s="70">
        <v>0</v>
      </c>
      <c r="F84" s="70">
        <v>0</v>
      </c>
      <c r="G84" s="129">
        <v>47.1</v>
      </c>
      <c r="H84" s="70" t="s">
        <v>0</v>
      </c>
    </row>
    <row r="85" spans="1:8">
      <c r="A85" s="70">
        <v>1</v>
      </c>
      <c r="B85" s="70">
        <v>2</v>
      </c>
      <c r="C85" s="70" t="s">
        <v>41</v>
      </c>
      <c r="D85" s="70">
        <v>17</v>
      </c>
      <c r="E85" s="70">
        <v>0</v>
      </c>
      <c r="F85" s="70">
        <v>0</v>
      </c>
      <c r="G85" s="129">
        <v>10.5</v>
      </c>
      <c r="H85" s="70" t="s">
        <v>0</v>
      </c>
    </row>
    <row r="86" spans="1:8">
      <c r="A86" s="70">
        <v>1</v>
      </c>
      <c r="B86" s="70">
        <v>3</v>
      </c>
      <c r="C86" s="70" t="s">
        <v>41</v>
      </c>
      <c r="D86" s="70">
        <v>33</v>
      </c>
      <c r="E86" s="70">
        <v>3</v>
      </c>
      <c r="F86" s="70">
        <v>0</v>
      </c>
      <c r="G86" s="129">
        <v>15.85</v>
      </c>
      <c r="H86" s="70" t="s">
        <v>0</v>
      </c>
    </row>
    <row r="87" spans="1:8">
      <c r="A87" s="70">
        <v>0</v>
      </c>
      <c r="B87" s="70">
        <v>3</v>
      </c>
      <c r="C87" s="70" t="s">
        <v>42</v>
      </c>
      <c r="D87" s="70">
        <v>16</v>
      </c>
      <c r="E87" s="70">
        <v>1</v>
      </c>
      <c r="F87" s="70">
        <v>3</v>
      </c>
      <c r="G87" s="129">
        <v>34.375</v>
      </c>
      <c r="H87" s="70" t="s">
        <v>0</v>
      </c>
    </row>
    <row r="88" spans="1:8">
      <c r="A88" s="70">
        <v>0</v>
      </c>
      <c r="B88" s="70">
        <v>3</v>
      </c>
      <c r="C88" s="70" t="s">
        <v>42</v>
      </c>
      <c r="D88" s="70">
        <v>29.7</v>
      </c>
      <c r="E88" s="70">
        <v>0</v>
      </c>
      <c r="F88" s="70">
        <v>0</v>
      </c>
      <c r="G88" s="129">
        <v>8.0500000000000007</v>
      </c>
      <c r="H88" s="70" t="s">
        <v>0</v>
      </c>
    </row>
    <row r="89" spans="1:8">
      <c r="A89" s="70">
        <v>1</v>
      </c>
      <c r="B89" s="70">
        <v>1</v>
      </c>
      <c r="C89" s="70" t="s">
        <v>41</v>
      </c>
      <c r="D89" s="70">
        <v>23</v>
      </c>
      <c r="E89" s="70">
        <v>3</v>
      </c>
      <c r="F89" s="70">
        <v>2</v>
      </c>
      <c r="G89" s="129">
        <v>263</v>
      </c>
      <c r="H89" s="70" t="s">
        <v>0</v>
      </c>
    </row>
    <row r="90" spans="1:8">
      <c r="A90" s="70">
        <v>0</v>
      </c>
      <c r="B90" s="70">
        <v>3</v>
      </c>
      <c r="C90" s="70" t="s">
        <v>42</v>
      </c>
      <c r="D90" s="70">
        <v>24</v>
      </c>
      <c r="E90" s="70">
        <v>0</v>
      </c>
      <c r="F90" s="70">
        <v>0</v>
      </c>
      <c r="G90" s="129">
        <v>8.0500000000000007</v>
      </c>
      <c r="H90" s="70" t="s">
        <v>0</v>
      </c>
    </row>
    <row r="91" spans="1:8">
      <c r="A91" s="70">
        <v>0</v>
      </c>
      <c r="B91" s="70">
        <v>3</v>
      </c>
      <c r="C91" s="70" t="s">
        <v>42</v>
      </c>
      <c r="D91" s="70">
        <v>29</v>
      </c>
      <c r="E91" s="70">
        <v>0</v>
      </c>
      <c r="F91" s="70">
        <v>0</v>
      </c>
      <c r="G91" s="129">
        <v>8.0500000000000007</v>
      </c>
      <c r="H91" s="70" t="s">
        <v>0</v>
      </c>
    </row>
    <row r="92" spans="1:8">
      <c r="A92" s="70">
        <v>0</v>
      </c>
      <c r="B92" s="70">
        <v>3</v>
      </c>
      <c r="C92" s="70" t="s">
        <v>42</v>
      </c>
      <c r="D92" s="70">
        <v>20</v>
      </c>
      <c r="E92" s="70">
        <v>0</v>
      </c>
      <c r="F92" s="70">
        <v>0</v>
      </c>
      <c r="G92" s="129">
        <v>7.8541999999999996</v>
      </c>
      <c r="H92" s="70" t="s">
        <v>0</v>
      </c>
    </row>
    <row r="93" spans="1:8">
      <c r="A93" s="70">
        <v>0</v>
      </c>
      <c r="B93" s="70">
        <v>1</v>
      </c>
      <c r="C93" s="70" t="s">
        <v>42</v>
      </c>
      <c r="D93" s="70">
        <v>46</v>
      </c>
      <c r="E93" s="70">
        <v>1</v>
      </c>
      <c r="F93" s="70">
        <v>0</v>
      </c>
      <c r="G93" s="129">
        <v>61.174999999999997</v>
      </c>
      <c r="H93" s="70" t="s">
        <v>0</v>
      </c>
    </row>
    <row r="94" spans="1:8">
      <c r="A94" s="70">
        <v>0</v>
      </c>
      <c r="B94" s="70">
        <v>3</v>
      </c>
      <c r="C94" s="70" t="s">
        <v>42</v>
      </c>
      <c r="D94" s="70">
        <v>26</v>
      </c>
      <c r="E94" s="70">
        <v>1</v>
      </c>
      <c r="F94" s="70">
        <v>2</v>
      </c>
      <c r="G94" s="129">
        <v>20.574999999999999</v>
      </c>
      <c r="H94" s="70" t="s">
        <v>0</v>
      </c>
    </row>
    <row r="95" spans="1:8">
      <c r="A95" s="70">
        <v>0</v>
      </c>
      <c r="B95" s="70">
        <v>3</v>
      </c>
      <c r="C95" s="70" t="s">
        <v>42</v>
      </c>
      <c r="D95" s="70">
        <v>59</v>
      </c>
      <c r="E95" s="70">
        <v>0</v>
      </c>
      <c r="F95" s="70">
        <v>0</v>
      </c>
      <c r="G95" s="129">
        <v>7.25</v>
      </c>
      <c r="H95" s="70" t="s">
        <v>0</v>
      </c>
    </row>
    <row r="96" spans="1:8">
      <c r="A96" s="70">
        <v>0</v>
      </c>
      <c r="B96" s="70">
        <v>3</v>
      </c>
      <c r="C96" s="70" t="s">
        <v>42</v>
      </c>
      <c r="D96" s="70">
        <v>29.7</v>
      </c>
      <c r="E96" s="70">
        <v>0</v>
      </c>
      <c r="F96" s="70">
        <v>0</v>
      </c>
      <c r="G96" s="129">
        <v>8.0500000000000007</v>
      </c>
      <c r="H96" s="70" t="s">
        <v>0</v>
      </c>
    </row>
    <row r="97" spans="1:8">
      <c r="A97" s="70">
        <v>0</v>
      </c>
      <c r="B97" s="70">
        <v>1</v>
      </c>
      <c r="C97" s="70" t="s">
        <v>42</v>
      </c>
      <c r="D97" s="70">
        <v>71</v>
      </c>
      <c r="E97" s="70">
        <v>0</v>
      </c>
      <c r="F97" s="70">
        <v>0</v>
      </c>
      <c r="G97" s="129">
        <v>34.654200000000003</v>
      </c>
      <c r="H97" s="70" t="s">
        <v>1</v>
      </c>
    </row>
    <row r="98" spans="1:8">
      <c r="A98" s="70">
        <v>1</v>
      </c>
      <c r="B98" s="70">
        <v>1</v>
      </c>
      <c r="C98" s="70" t="s">
        <v>42</v>
      </c>
      <c r="D98" s="70">
        <v>23</v>
      </c>
      <c r="E98" s="70">
        <v>0</v>
      </c>
      <c r="F98" s="70">
        <v>1</v>
      </c>
      <c r="G98" s="129">
        <v>63.3583</v>
      </c>
      <c r="H98" s="70" t="s">
        <v>1</v>
      </c>
    </row>
    <row r="99" spans="1:8">
      <c r="A99" s="70">
        <v>1</v>
      </c>
      <c r="B99" s="70">
        <v>2</v>
      </c>
      <c r="C99" s="70" t="s">
        <v>41</v>
      </c>
      <c r="D99" s="70">
        <v>34</v>
      </c>
      <c r="E99" s="70">
        <v>0</v>
      </c>
      <c r="F99" s="70">
        <v>1</v>
      </c>
      <c r="G99" s="129">
        <v>23</v>
      </c>
      <c r="H99" s="70" t="s">
        <v>0</v>
      </c>
    </row>
    <row r="100" spans="1:8">
      <c r="A100" s="70">
        <v>0</v>
      </c>
      <c r="B100" s="70">
        <v>2</v>
      </c>
      <c r="C100" s="70" t="s">
        <v>42</v>
      </c>
      <c r="D100" s="70">
        <v>34</v>
      </c>
      <c r="E100" s="70">
        <v>1</v>
      </c>
      <c r="F100" s="70">
        <v>0</v>
      </c>
      <c r="G100" s="129">
        <v>26</v>
      </c>
      <c r="H100" s="70" t="s">
        <v>0</v>
      </c>
    </row>
    <row r="101" spans="1:8">
      <c r="A101" s="70">
        <v>0</v>
      </c>
      <c r="B101" s="70">
        <v>3</v>
      </c>
      <c r="C101" s="70" t="s">
        <v>41</v>
      </c>
      <c r="D101" s="70">
        <v>28</v>
      </c>
      <c r="E101" s="70">
        <v>0</v>
      </c>
      <c r="F101" s="70">
        <v>0</v>
      </c>
      <c r="G101" s="129">
        <v>7.8958000000000004</v>
      </c>
      <c r="H101" s="70" t="s">
        <v>0</v>
      </c>
    </row>
    <row r="102" spans="1:8">
      <c r="A102" s="70">
        <v>0</v>
      </c>
      <c r="B102" s="70">
        <v>3</v>
      </c>
      <c r="C102" s="70" t="s">
        <v>42</v>
      </c>
      <c r="D102" s="70">
        <v>29.7</v>
      </c>
      <c r="E102" s="70">
        <v>0</v>
      </c>
      <c r="F102" s="70">
        <v>0</v>
      </c>
      <c r="G102" s="129">
        <v>7.8958000000000004</v>
      </c>
      <c r="H102" s="70" t="s">
        <v>0</v>
      </c>
    </row>
    <row r="103" spans="1:8">
      <c r="A103" s="70">
        <v>0</v>
      </c>
      <c r="B103" s="70">
        <v>1</v>
      </c>
      <c r="C103" s="70" t="s">
        <v>42</v>
      </c>
      <c r="D103" s="70">
        <v>21</v>
      </c>
      <c r="E103" s="70">
        <v>0</v>
      </c>
      <c r="F103" s="70">
        <v>1</v>
      </c>
      <c r="G103" s="129">
        <v>77.287499999999994</v>
      </c>
      <c r="H103" s="70" t="s">
        <v>0</v>
      </c>
    </row>
    <row r="104" spans="1:8">
      <c r="A104" s="70">
        <v>0</v>
      </c>
      <c r="B104" s="70">
        <v>3</v>
      </c>
      <c r="C104" s="70" t="s">
        <v>42</v>
      </c>
      <c r="D104" s="70">
        <v>33</v>
      </c>
      <c r="E104" s="70">
        <v>0</v>
      </c>
      <c r="F104" s="70">
        <v>0</v>
      </c>
      <c r="G104" s="129">
        <v>8.6541999999999994</v>
      </c>
      <c r="H104" s="70" t="s">
        <v>0</v>
      </c>
    </row>
    <row r="105" spans="1:8">
      <c r="A105" s="70">
        <v>0</v>
      </c>
      <c r="B105" s="70">
        <v>3</v>
      </c>
      <c r="C105" s="70" t="s">
        <v>42</v>
      </c>
      <c r="D105" s="70">
        <v>37</v>
      </c>
      <c r="E105" s="70">
        <v>2</v>
      </c>
      <c r="F105" s="70">
        <v>0</v>
      </c>
      <c r="G105" s="129">
        <v>7.9249999999999998</v>
      </c>
      <c r="H105" s="70" t="s">
        <v>0</v>
      </c>
    </row>
    <row r="106" spans="1:8">
      <c r="A106" s="70">
        <v>0</v>
      </c>
      <c r="B106" s="70">
        <v>3</v>
      </c>
      <c r="C106" s="70" t="s">
        <v>42</v>
      </c>
      <c r="D106" s="70">
        <v>28</v>
      </c>
      <c r="E106" s="70">
        <v>0</v>
      </c>
      <c r="F106" s="70">
        <v>0</v>
      </c>
      <c r="G106" s="129">
        <v>7.8958000000000004</v>
      </c>
      <c r="H106" s="70" t="s">
        <v>0</v>
      </c>
    </row>
    <row r="107" spans="1:8">
      <c r="A107" s="70">
        <v>1</v>
      </c>
      <c r="B107" s="70">
        <v>3</v>
      </c>
      <c r="C107" s="70" t="s">
        <v>41</v>
      </c>
      <c r="D107" s="70">
        <v>21</v>
      </c>
      <c r="E107" s="70">
        <v>0</v>
      </c>
      <c r="F107" s="70">
        <v>0</v>
      </c>
      <c r="G107" s="129">
        <v>7.65</v>
      </c>
      <c r="H107" s="70" t="s">
        <v>0</v>
      </c>
    </row>
    <row r="108" spans="1:8">
      <c r="A108" s="70">
        <v>1</v>
      </c>
      <c r="B108" s="70">
        <v>3</v>
      </c>
      <c r="C108" s="70" t="s">
        <v>42</v>
      </c>
      <c r="D108" s="70">
        <v>29.7</v>
      </c>
      <c r="E108" s="70">
        <v>0</v>
      </c>
      <c r="F108" s="70">
        <v>0</v>
      </c>
      <c r="G108" s="129">
        <v>7.7750000000000004</v>
      </c>
      <c r="H108" s="70" t="s">
        <v>0</v>
      </c>
    </row>
    <row r="109" spans="1:8">
      <c r="A109" s="70">
        <v>0</v>
      </c>
      <c r="B109" s="70">
        <v>3</v>
      </c>
      <c r="C109" s="70" t="s">
        <v>42</v>
      </c>
      <c r="D109" s="70">
        <v>38</v>
      </c>
      <c r="E109" s="70">
        <v>0</v>
      </c>
      <c r="F109" s="70">
        <v>0</v>
      </c>
      <c r="G109" s="129">
        <v>7.8958000000000004</v>
      </c>
      <c r="H109" s="70" t="s">
        <v>0</v>
      </c>
    </row>
    <row r="110" spans="1:8">
      <c r="A110" s="70">
        <v>1</v>
      </c>
      <c r="B110" s="70">
        <v>3</v>
      </c>
      <c r="C110" s="70" t="s">
        <v>41</v>
      </c>
      <c r="D110" s="70">
        <v>29.7</v>
      </c>
      <c r="E110" s="70">
        <v>1</v>
      </c>
      <c r="F110" s="70">
        <v>0</v>
      </c>
      <c r="G110" s="129">
        <v>24.15</v>
      </c>
      <c r="H110" s="70" t="s">
        <v>2</v>
      </c>
    </row>
    <row r="111" spans="1:8">
      <c r="A111" s="70">
        <v>0</v>
      </c>
      <c r="B111" s="70">
        <v>1</v>
      </c>
      <c r="C111" s="70" t="s">
        <v>42</v>
      </c>
      <c r="D111" s="70">
        <v>47</v>
      </c>
      <c r="E111" s="70">
        <v>0</v>
      </c>
      <c r="F111" s="70">
        <v>0</v>
      </c>
      <c r="G111" s="129">
        <v>52</v>
      </c>
      <c r="H111" s="70" t="s">
        <v>0</v>
      </c>
    </row>
    <row r="112" spans="1:8">
      <c r="A112" s="70">
        <v>0</v>
      </c>
      <c r="B112" s="70">
        <v>3</v>
      </c>
      <c r="C112" s="70" t="s">
        <v>41</v>
      </c>
      <c r="D112" s="70">
        <v>14.5</v>
      </c>
      <c r="E112" s="70">
        <v>1</v>
      </c>
      <c r="F112" s="70">
        <v>0</v>
      </c>
      <c r="G112" s="129">
        <v>14.4542</v>
      </c>
      <c r="H112" s="70" t="s">
        <v>1</v>
      </c>
    </row>
    <row r="113" spans="1:8">
      <c r="A113" s="70">
        <v>0</v>
      </c>
      <c r="B113" s="70">
        <v>3</v>
      </c>
      <c r="C113" s="70" t="s">
        <v>42</v>
      </c>
      <c r="D113" s="70">
        <v>22</v>
      </c>
      <c r="E113" s="70">
        <v>0</v>
      </c>
      <c r="F113" s="70">
        <v>0</v>
      </c>
      <c r="G113" s="129">
        <v>8.0500000000000007</v>
      </c>
      <c r="H113" s="70" t="s">
        <v>0</v>
      </c>
    </row>
    <row r="114" spans="1:8">
      <c r="A114" s="70">
        <v>0</v>
      </c>
      <c r="B114" s="70">
        <v>3</v>
      </c>
      <c r="C114" s="70" t="s">
        <v>41</v>
      </c>
      <c r="D114" s="70">
        <v>20</v>
      </c>
      <c r="E114" s="70">
        <v>1</v>
      </c>
      <c r="F114" s="70">
        <v>0</v>
      </c>
      <c r="G114" s="129">
        <v>9.8249999999999993</v>
      </c>
      <c r="H114" s="70" t="s">
        <v>0</v>
      </c>
    </row>
    <row r="115" spans="1:8">
      <c r="A115" s="70">
        <v>0</v>
      </c>
      <c r="B115" s="70">
        <v>3</v>
      </c>
      <c r="C115" s="70" t="s">
        <v>41</v>
      </c>
      <c r="D115" s="70">
        <v>17</v>
      </c>
      <c r="E115" s="70">
        <v>0</v>
      </c>
      <c r="F115" s="70">
        <v>0</v>
      </c>
      <c r="G115" s="129">
        <v>14.458299999999999</v>
      </c>
      <c r="H115" s="70" t="s">
        <v>1</v>
      </c>
    </row>
    <row r="116" spans="1:8">
      <c r="A116" s="70">
        <v>0</v>
      </c>
      <c r="B116" s="70">
        <v>3</v>
      </c>
      <c r="C116" s="70" t="s">
        <v>42</v>
      </c>
      <c r="D116" s="70">
        <v>21</v>
      </c>
      <c r="E116" s="70">
        <v>0</v>
      </c>
      <c r="F116" s="70">
        <v>0</v>
      </c>
      <c r="G116" s="129">
        <v>7.9249999999999998</v>
      </c>
      <c r="H116" s="70" t="s">
        <v>0</v>
      </c>
    </row>
    <row r="117" spans="1:8">
      <c r="A117" s="70">
        <v>0</v>
      </c>
      <c r="B117" s="70">
        <v>3</v>
      </c>
      <c r="C117" s="70" t="s">
        <v>42</v>
      </c>
      <c r="D117" s="70">
        <v>70.5</v>
      </c>
      <c r="E117" s="70">
        <v>0</v>
      </c>
      <c r="F117" s="70">
        <v>0</v>
      </c>
      <c r="G117" s="129">
        <v>7.75</v>
      </c>
      <c r="H117" s="70" t="s">
        <v>2</v>
      </c>
    </row>
    <row r="118" spans="1:8">
      <c r="A118" s="70">
        <v>0</v>
      </c>
      <c r="B118" s="70">
        <v>2</v>
      </c>
      <c r="C118" s="70" t="s">
        <v>42</v>
      </c>
      <c r="D118" s="70">
        <v>29</v>
      </c>
      <c r="E118" s="70">
        <v>1</v>
      </c>
      <c r="F118" s="70">
        <v>0</v>
      </c>
      <c r="G118" s="129">
        <v>21</v>
      </c>
      <c r="H118" s="70" t="s">
        <v>0</v>
      </c>
    </row>
    <row r="119" spans="1:8">
      <c r="A119" s="70">
        <v>0</v>
      </c>
      <c r="B119" s="70">
        <v>1</v>
      </c>
      <c r="C119" s="70" t="s">
        <v>42</v>
      </c>
      <c r="D119" s="70">
        <v>24</v>
      </c>
      <c r="E119" s="70">
        <v>0</v>
      </c>
      <c r="F119" s="70">
        <v>1</v>
      </c>
      <c r="G119" s="129">
        <v>247.52080000000001</v>
      </c>
      <c r="H119" s="70" t="s">
        <v>1</v>
      </c>
    </row>
    <row r="120" spans="1:8">
      <c r="A120" s="70">
        <v>0</v>
      </c>
      <c r="B120" s="70">
        <v>3</v>
      </c>
      <c r="C120" s="70" t="s">
        <v>41</v>
      </c>
      <c r="D120" s="70">
        <v>2</v>
      </c>
      <c r="E120" s="70">
        <v>4</v>
      </c>
      <c r="F120" s="70">
        <v>2</v>
      </c>
      <c r="G120" s="129">
        <v>31.274999999999999</v>
      </c>
      <c r="H120" s="70" t="s">
        <v>0</v>
      </c>
    </row>
    <row r="121" spans="1:8">
      <c r="A121" s="70">
        <v>0</v>
      </c>
      <c r="B121" s="70">
        <v>2</v>
      </c>
      <c r="C121" s="70" t="s">
        <v>42</v>
      </c>
      <c r="D121" s="70">
        <v>21</v>
      </c>
      <c r="E121" s="70">
        <v>2</v>
      </c>
      <c r="F121" s="70">
        <v>0</v>
      </c>
      <c r="G121" s="129">
        <v>73.5</v>
      </c>
      <c r="H121" s="70" t="s">
        <v>0</v>
      </c>
    </row>
    <row r="122" spans="1:8">
      <c r="A122" s="70">
        <v>0</v>
      </c>
      <c r="B122" s="70">
        <v>3</v>
      </c>
      <c r="C122" s="70" t="s">
        <v>42</v>
      </c>
      <c r="D122" s="70">
        <v>29.7</v>
      </c>
      <c r="E122" s="70">
        <v>0</v>
      </c>
      <c r="F122" s="70">
        <v>0</v>
      </c>
      <c r="G122" s="129">
        <v>8.0500000000000007</v>
      </c>
      <c r="H122" s="70" t="s">
        <v>0</v>
      </c>
    </row>
    <row r="123" spans="1:8">
      <c r="A123" s="70">
        <v>0</v>
      </c>
      <c r="B123" s="70">
        <v>2</v>
      </c>
      <c r="C123" s="70" t="s">
        <v>42</v>
      </c>
      <c r="D123" s="70">
        <v>32.5</v>
      </c>
      <c r="E123" s="70">
        <v>1</v>
      </c>
      <c r="F123" s="70">
        <v>0</v>
      </c>
      <c r="G123" s="129">
        <v>30.070799999999998</v>
      </c>
      <c r="H123" s="70" t="s">
        <v>1</v>
      </c>
    </row>
    <row r="124" spans="1:8">
      <c r="A124" s="70">
        <v>1</v>
      </c>
      <c r="B124" s="70">
        <v>2</v>
      </c>
      <c r="C124" s="70" t="s">
        <v>41</v>
      </c>
      <c r="D124" s="70">
        <v>32.5</v>
      </c>
      <c r="E124" s="70">
        <v>0</v>
      </c>
      <c r="F124" s="70">
        <v>0</v>
      </c>
      <c r="G124" s="129">
        <v>13</v>
      </c>
      <c r="H124" s="70" t="s">
        <v>0</v>
      </c>
    </row>
    <row r="125" spans="1:8">
      <c r="A125" s="70">
        <v>0</v>
      </c>
      <c r="B125" s="70">
        <v>1</v>
      </c>
      <c r="C125" s="70" t="s">
        <v>42</v>
      </c>
      <c r="D125" s="70">
        <v>54</v>
      </c>
      <c r="E125" s="70">
        <v>0</v>
      </c>
      <c r="F125" s="70">
        <v>1</v>
      </c>
      <c r="G125" s="129">
        <v>77.287499999999994</v>
      </c>
      <c r="H125" s="70" t="s">
        <v>0</v>
      </c>
    </row>
    <row r="126" spans="1:8">
      <c r="A126" s="70">
        <v>1</v>
      </c>
      <c r="B126" s="70">
        <v>3</v>
      </c>
      <c r="C126" s="70" t="s">
        <v>42</v>
      </c>
      <c r="D126" s="70">
        <v>12</v>
      </c>
      <c r="E126" s="70">
        <v>1</v>
      </c>
      <c r="F126" s="70">
        <v>0</v>
      </c>
      <c r="G126" s="129">
        <v>11.2417</v>
      </c>
      <c r="H126" s="70" t="s">
        <v>1</v>
      </c>
    </row>
    <row r="127" spans="1:8">
      <c r="A127" s="70">
        <v>0</v>
      </c>
      <c r="B127" s="70">
        <v>3</v>
      </c>
      <c r="C127" s="70" t="s">
        <v>42</v>
      </c>
      <c r="D127" s="70">
        <v>29.7</v>
      </c>
      <c r="E127" s="70">
        <v>0</v>
      </c>
      <c r="F127" s="70">
        <v>0</v>
      </c>
      <c r="G127" s="129">
        <v>7.75</v>
      </c>
      <c r="H127" s="70" t="s">
        <v>2</v>
      </c>
    </row>
    <row r="128" spans="1:8">
      <c r="A128" s="70">
        <v>1</v>
      </c>
      <c r="B128" s="70">
        <v>3</v>
      </c>
      <c r="C128" s="70" t="s">
        <v>42</v>
      </c>
      <c r="D128" s="70">
        <v>24</v>
      </c>
      <c r="E128" s="70">
        <v>0</v>
      </c>
      <c r="F128" s="70">
        <v>0</v>
      </c>
      <c r="G128" s="129">
        <v>7.1417000000000002</v>
      </c>
      <c r="H128" s="70" t="s">
        <v>0</v>
      </c>
    </row>
    <row r="129" spans="1:8">
      <c r="A129" s="70">
        <v>1</v>
      </c>
      <c r="B129" s="70">
        <v>3</v>
      </c>
      <c r="C129" s="70" t="s">
        <v>41</v>
      </c>
      <c r="D129" s="70">
        <v>29.7</v>
      </c>
      <c r="E129" s="70">
        <v>1</v>
      </c>
      <c r="F129" s="70">
        <v>1</v>
      </c>
      <c r="G129" s="129">
        <v>22.3583</v>
      </c>
      <c r="H129" s="70" t="s">
        <v>1</v>
      </c>
    </row>
    <row r="130" spans="1:8">
      <c r="A130" s="70">
        <v>0</v>
      </c>
      <c r="B130" s="70">
        <v>3</v>
      </c>
      <c r="C130" s="70" t="s">
        <v>42</v>
      </c>
      <c r="D130" s="70">
        <v>45</v>
      </c>
      <c r="E130" s="70">
        <v>0</v>
      </c>
      <c r="F130" s="70">
        <v>0</v>
      </c>
      <c r="G130" s="129">
        <v>6.9749999999999996</v>
      </c>
      <c r="H130" s="70" t="s">
        <v>0</v>
      </c>
    </row>
    <row r="131" spans="1:8">
      <c r="A131" s="70">
        <v>0</v>
      </c>
      <c r="B131" s="70">
        <v>3</v>
      </c>
      <c r="C131" s="70" t="s">
        <v>42</v>
      </c>
      <c r="D131" s="70">
        <v>33</v>
      </c>
      <c r="E131" s="70">
        <v>0</v>
      </c>
      <c r="F131" s="70">
        <v>0</v>
      </c>
      <c r="G131" s="129">
        <v>7.8958000000000004</v>
      </c>
      <c r="H131" s="70" t="s">
        <v>1</v>
      </c>
    </row>
    <row r="132" spans="1:8">
      <c r="A132" s="70">
        <v>0</v>
      </c>
      <c r="B132" s="70">
        <v>3</v>
      </c>
      <c r="C132" s="70" t="s">
        <v>42</v>
      </c>
      <c r="D132" s="70">
        <v>20</v>
      </c>
      <c r="E132" s="70">
        <v>0</v>
      </c>
      <c r="F132" s="70">
        <v>0</v>
      </c>
      <c r="G132" s="129">
        <v>7.05</v>
      </c>
      <c r="H132" s="70" t="s">
        <v>0</v>
      </c>
    </row>
    <row r="133" spans="1:8">
      <c r="A133" s="70">
        <v>0</v>
      </c>
      <c r="B133" s="70">
        <v>3</v>
      </c>
      <c r="C133" s="70" t="s">
        <v>41</v>
      </c>
      <c r="D133" s="70">
        <v>47</v>
      </c>
      <c r="E133" s="70">
        <v>1</v>
      </c>
      <c r="F133" s="70">
        <v>0</v>
      </c>
      <c r="G133" s="129">
        <v>14.5</v>
      </c>
      <c r="H133" s="70" t="s">
        <v>0</v>
      </c>
    </row>
    <row r="134" spans="1:8">
      <c r="A134" s="70">
        <v>1</v>
      </c>
      <c r="B134" s="70">
        <v>2</v>
      </c>
      <c r="C134" s="70" t="s">
        <v>41</v>
      </c>
      <c r="D134" s="70">
        <v>29</v>
      </c>
      <c r="E134" s="70">
        <v>1</v>
      </c>
      <c r="F134" s="70">
        <v>0</v>
      </c>
      <c r="G134" s="129">
        <v>26</v>
      </c>
      <c r="H134" s="70" t="s">
        <v>0</v>
      </c>
    </row>
    <row r="135" spans="1:8">
      <c r="A135" s="70">
        <v>0</v>
      </c>
      <c r="B135" s="70">
        <v>2</v>
      </c>
      <c r="C135" s="70" t="s">
        <v>42</v>
      </c>
      <c r="D135" s="70">
        <v>25</v>
      </c>
      <c r="E135" s="70">
        <v>0</v>
      </c>
      <c r="F135" s="70">
        <v>0</v>
      </c>
      <c r="G135" s="129">
        <v>13</v>
      </c>
      <c r="H135" s="70" t="s">
        <v>0</v>
      </c>
    </row>
    <row r="136" spans="1:8">
      <c r="A136" s="70">
        <v>0</v>
      </c>
      <c r="B136" s="70">
        <v>2</v>
      </c>
      <c r="C136" s="70" t="s">
        <v>42</v>
      </c>
      <c r="D136" s="70">
        <v>23</v>
      </c>
      <c r="E136" s="70">
        <v>0</v>
      </c>
      <c r="F136" s="70">
        <v>0</v>
      </c>
      <c r="G136" s="129">
        <v>15.0458</v>
      </c>
      <c r="H136" s="70" t="s">
        <v>1</v>
      </c>
    </row>
    <row r="137" spans="1:8">
      <c r="A137" s="70">
        <v>1</v>
      </c>
      <c r="B137" s="70">
        <v>1</v>
      </c>
      <c r="C137" s="70" t="s">
        <v>41</v>
      </c>
      <c r="D137" s="70">
        <v>19</v>
      </c>
      <c r="E137" s="70">
        <v>0</v>
      </c>
      <c r="F137" s="70">
        <v>2</v>
      </c>
      <c r="G137" s="129">
        <v>26.283300000000001</v>
      </c>
      <c r="H137" s="70" t="s">
        <v>0</v>
      </c>
    </row>
    <row r="138" spans="1:8">
      <c r="A138" s="70">
        <v>0</v>
      </c>
      <c r="B138" s="70">
        <v>1</v>
      </c>
      <c r="C138" s="70" t="s">
        <v>42</v>
      </c>
      <c r="D138" s="70">
        <v>37</v>
      </c>
      <c r="E138" s="70">
        <v>1</v>
      </c>
      <c r="F138" s="70">
        <v>0</v>
      </c>
      <c r="G138" s="129">
        <v>53.1</v>
      </c>
      <c r="H138" s="70" t="s">
        <v>0</v>
      </c>
    </row>
    <row r="139" spans="1:8">
      <c r="A139" s="70">
        <v>0</v>
      </c>
      <c r="B139" s="70">
        <v>3</v>
      </c>
      <c r="C139" s="70" t="s">
        <v>42</v>
      </c>
      <c r="D139" s="70">
        <v>16</v>
      </c>
      <c r="E139" s="70">
        <v>0</v>
      </c>
      <c r="F139" s="70">
        <v>0</v>
      </c>
      <c r="G139" s="129">
        <v>9.2166999999999994</v>
      </c>
      <c r="H139" s="70" t="s">
        <v>0</v>
      </c>
    </row>
    <row r="140" spans="1:8">
      <c r="A140" s="70">
        <v>0</v>
      </c>
      <c r="B140" s="70">
        <v>1</v>
      </c>
      <c r="C140" s="70" t="s">
        <v>42</v>
      </c>
      <c r="D140" s="70">
        <v>24</v>
      </c>
      <c r="E140" s="70">
        <v>0</v>
      </c>
      <c r="F140" s="70">
        <v>0</v>
      </c>
      <c r="G140" s="129">
        <v>79.2</v>
      </c>
      <c r="H140" s="70" t="s">
        <v>1</v>
      </c>
    </row>
    <row r="141" spans="1:8">
      <c r="A141" s="70">
        <v>0</v>
      </c>
      <c r="B141" s="70">
        <v>3</v>
      </c>
      <c r="C141" s="70" t="s">
        <v>41</v>
      </c>
      <c r="D141" s="70">
        <v>29.7</v>
      </c>
      <c r="E141" s="70">
        <v>0</v>
      </c>
      <c r="F141" s="70">
        <v>2</v>
      </c>
      <c r="G141" s="129">
        <v>15.245799999999999</v>
      </c>
      <c r="H141" s="70" t="s">
        <v>1</v>
      </c>
    </row>
    <row r="142" spans="1:8">
      <c r="A142" s="70">
        <v>1</v>
      </c>
      <c r="B142" s="70">
        <v>3</v>
      </c>
      <c r="C142" s="70" t="s">
        <v>41</v>
      </c>
      <c r="D142" s="70">
        <v>22</v>
      </c>
      <c r="E142" s="70">
        <v>0</v>
      </c>
      <c r="F142" s="70">
        <v>0</v>
      </c>
      <c r="G142" s="129">
        <v>7.75</v>
      </c>
      <c r="H142" s="70" t="s">
        <v>0</v>
      </c>
    </row>
    <row r="143" spans="1:8">
      <c r="A143" s="70">
        <v>1</v>
      </c>
      <c r="B143" s="70">
        <v>3</v>
      </c>
      <c r="C143" s="70" t="s">
        <v>41</v>
      </c>
      <c r="D143" s="70">
        <v>24</v>
      </c>
      <c r="E143" s="70">
        <v>1</v>
      </c>
      <c r="F143" s="70">
        <v>0</v>
      </c>
      <c r="G143" s="129">
        <v>15.85</v>
      </c>
      <c r="H143" s="70" t="s">
        <v>0</v>
      </c>
    </row>
    <row r="144" spans="1:8">
      <c r="A144" s="70">
        <v>0</v>
      </c>
      <c r="B144" s="70">
        <v>3</v>
      </c>
      <c r="C144" s="70" t="s">
        <v>42</v>
      </c>
      <c r="D144" s="70">
        <v>19</v>
      </c>
      <c r="E144" s="70">
        <v>0</v>
      </c>
      <c r="F144" s="70">
        <v>0</v>
      </c>
      <c r="G144" s="129">
        <v>6.75</v>
      </c>
      <c r="H144" s="70" t="s">
        <v>2</v>
      </c>
    </row>
    <row r="145" spans="1:8">
      <c r="A145" s="70">
        <v>0</v>
      </c>
      <c r="B145" s="70">
        <v>2</v>
      </c>
      <c r="C145" s="70" t="s">
        <v>42</v>
      </c>
      <c r="D145" s="70">
        <v>18</v>
      </c>
      <c r="E145" s="70">
        <v>0</v>
      </c>
      <c r="F145" s="70">
        <v>0</v>
      </c>
      <c r="G145" s="129">
        <v>11.5</v>
      </c>
      <c r="H145" s="70" t="s">
        <v>0</v>
      </c>
    </row>
    <row r="146" spans="1:8">
      <c r="A146" s="70">
        <v>0</v>
      </c>
      <c r="B146" s="70">
        <v>2</v>
      </c>
      <c r="C146" s="70" t="s">
        <v>42</v>
      </c>
      <c r="D146" s="70">
        <v>19</v>
      </c>
      <c r="E146" s="70">
        <v>1</v>
      </c>
      <c r="F146" s="70">
        <v>1</v>
      </c>
      <c r="G146" s="129">
        <v>36.75</v>
      </c>
      <c r="H146" s="70" t="s">
        <v>0</v>
      </c>
    </row>
    <row r="147" spans="1:8">
      <c r="A147" s="70">
        <v>1</v>
      </c>
      <c r="B147" s="70">
        <v>3</v>
      </c>
      <c r="C147" s="70" t="s">
        <v>42</v>
      </c>
      <c r="D147" s="70">
        <v>27</v>
      </c>
      <c r="E147" s="70">
        <v>0</v>
      </c>
      <c r="F147" s="70">
        <v>0</v>
      </c>
      <c r="G147" s="129">
        <v>7.7957999999999998</v>
      </c>
      <c r="H147" s="70" t="s">
        <v>0</v>
      </c>
    </row>
    <row r="148" spans="1:8">
      <c r="A148" s="70">
        <v>0</v>
      </c>
      <c r="B148" s="70">
        <v>3</v>
      </c>
      <c r="C148" s="70" t="s">
        <v>41</v>
      </c>
      <c r="D148" s="70">
        <v>9</v>
      </c>
      <c r="E148" s="70">
        <v>2</v>
      </c>
      <c r="F148" s="70">
        <v>2</v>
      </c>
      <c r="G148" s="129">
        <v>34.375</v>
      </c>
      <c r="H148" s="70" t="s">
        <v>0</v>
      </c>
    </row>
    <row r="149" spans="1:8">
      <c r="A149" s="70">
        <v>0</v>
      </c>
      <c r="B149" s="70">
        <v>2</v>
      </c>
      <c r="C149" s="70" t="s">
        <v>42</v>
      </c>
      <c r="D149" s="70">
        <v>36.5</v>
      </c>
      <c r="E149" s="70">
        <v>0</v>
      </c>
      <c r="F149" s="70">
        <v>2</v>
      </c>
      <c r="G149" s="129">
        <v>26</v>
      </c>
      <c r="H149" s="70" t="s">
        <v>0</v>
      </c>
    </row>
    <row r="150" spans="1:8">
      <c r="A150" s="70">
        <v>0</v>
      </c>
      <c r="B150" s="70">
        <v>2</v>
      </c>
      <c r="C150" s="70" t="s">
        <v>42</v>
      </c>
      <c r="D150" s="70">
        <v>42</v>
      </c>
      <c r="E150" s="70">
        <v>0</v>
      </c>
      <c r="F150" s="70">
        <v>0</v>
      </c>
      <c r="G150" s="129">
        <v>13</v>
      </c>
      <c r="H150" s="70" t="s">
        <v>0</v>
      </c>
    </row>
    <row r="151" spans="1:8">
      <c r="A151" s="70">
        <v>0</v>
      </c>
      <c r="B151" s="70">
        <v>2</v>
      </c>
      <c r="C151" s="70" t="s">
        <v>42</v>
      </c>
      <c r="D151" s="70">
        <v>51</v>
      </c>
      <c r="E151" s="70">
        <v>0</v>
      </c>
      <c r="F151" s="70">
        <v>0</v>
      </c>
      <c r="G151" s="129">
        <v>12.525</v>
      </c>
      <c r="H151" s="70" t="s">
        <v>0</v>
      </c>
    </row>
    <row r="152" spans="1:8">
      <c r="A152" s="70">
        <v>1</v>
      </c>
      <c r="B152" s="70">
        <v>1</v>
      </c>
      <c r="C152" s="70" t="s">
        <v>41</v>
      </c>
      <c r="D152" s="70">
        <v>22</v>
      </c>
      <c r="E152" s="70">
        <v>1</v>
      </c>
      <c r="F152" s="70">
        <v>0</v>
      </c>
      <c r="G152" s="129">
        <v>66.599999999999994</v>
      </c>
      <c r="H152" s="70" t="s">
        <v>0</v>
      </c>
    </row>
    <row r="153" spans="1:8">
      <c r="A153" s="70">
        <v>0</v>
      </c>
      <c r="B153" s="70">
        <v>3</v>
      </c>
      <c r="C153" s="70" t="s">
        <v>42</v>
      </c>
      <c r="D153" s="70">
        <v>55.5</v>
      </c>
      <c r="E153" s="70">
        <v>0</v>
      </c>
      <c r="F153" s="70">
        <v>0</v>
      </c>
      <c r="G153" s="129">
        <v>8.0500000000000007</v>
      </c>
      <c r="H153" s="70" t="s">
        <v>0</v>
      </c>
    </row>
    <row r="154" spans="1:8">
      <c r="A154" s="70">
        <v>0</v>
      </c>
      <c r="B154" s="70">
        <v>3</v>
      </c>
      <c r="C154" s="70" t="s">
        <v>42</v>
      </c>
      <c r="D154" s="70">
        <v>40.5</v>
      </c>
      <c r="E154" s="70">
        <v>0</v>
      </c>
      <c r="F154" s="70">
        <v>2</v>
      </c>
      <c r="G154" s="129">
        <v>14.5</v>
      </c>
      <c r="H154" s="70" t="s">
        <v>0</v>
      </c>
    </row>
    <row r="155" spans="1:8">
      <c r="A155" s="70">
        <v>0</v>
      </c>
      <c r="B155" s="70">
        <v>3</v>
      </c>
      <c r="C155" s="70" t="s">
        <v>42</v>
      </c>
      <c r="D155" s="70">
        <v>29.7</v>
      </c>
      <c r="E155" s="70">
        <v>0</v>
      </c>
      <c r="F155" s="70">
        <v>0</v>
      </c>
      <c r="G155" s="129">
        <v>7.3125</v>
      </c>
      <c r="H155" s="70" t="s">
        <v>0</v>
      </c>
    </row>
    <row r="156" spans="1:8">
      <c r="A156" s="70">
        <v>0</v>
      </c>
      <c r="B156" s="70">
        <v>1</v>
      </c>
      <c r="C156" s="70" t="s">
        <v>42</v>
      </c>
      <c r="D156" s="70">
        <v>51</v>
      </c>
      <c r="E156" s="70">
        <v>0</v>
      </c>
      <c r="F156" s="70">
        <v>1</v>
      </c>
      <c r="G156" s="129">
        <v>61.379199999999997</v>
      </c>
      <c r="H156" s="70" t="s">
        <v>1</v>
      </c>
    </row>
    <row r="157" spans="1:8">
      <c r="A157" s="70">
        <v>1</v>
      </c>
      <c r="B157" s="70">
        <v>3</v>
      </c>
      <c r="C157" s="70" t="s">
        <v>41</v>
      </c>
      <c r="D157" s="70">
        <v>16</v>
      </c>
      <c r="E157" s="70">
        <v>0</v>
      </c>
      <c r="F157" s="70">
        <v>0</v>
      </c>
      <c r="G157" s="129">
        <v>7.7332999999999998</v>
      </c>
      <c r="H157" s="70" t="s">
        <v>2</v>
      </c>
    </row>
    <row r="158" spans="1:8">
      <c r="A158" s="70">
        <v>0</v>
      </c>
      <c r="B158" s="70">
        <v>3</v>
      </c>
      <c r="C158" s="70" t="s">
        <v>42</v>
      </c>
      <c r="D158" s="70">
        <v>30</v>
      </c>
      <c r="E158" s="70">
        <v>0</v>
      </c>
      <c r="F158" s="70">
        <v>0</v>
      </c>
      <c r="G158" s="129">
        <v>8.0500000000000007</v>
      </c>
      <c r="H158" s="70" t="s">
        <v>0</v>
      </c>
    </row>
    <row r="159" spans="1:8">
      <c r="A159" s="70">
        <v>0</v>
      </c>
      <c r="B159" s="70">
        <v>3</v>
      </c>
      <c r="C159" s="70" t="s">
        <v>42</v>
      </c>
      <c r="D159" s="70">
        <v>29.7</v>
      </c>
      <c r="E159" s="70">
        <v>0</v>
      </c>
      <c r="F159" s="70">
        <v>0</v>
      </c>
      <c r="G159" s="129">
        <v>8.6624999999999996</v>
      </c>
      <c r="H159" s="70" t="s">
        <v>0</v>
      </c>
    </row>
    <row r="160" spans="1:8">
      <c r="A160" s="70">
        <v>0</v>
      </c>
      <c r="B160" s="70">
        <v>3</v>
      </c>
      <c r="C160" s="70" t="s">
        <v>42</v>
      </c>
      <c r="D160" s="70">
        <v>29.7</v>
      </c>
      <c r="E160" s="70">
        <v>8</v>
      </c>
      <c r="F160" s="70">
        <v>2</v>
      </c>
      <c r="G160" s="129">
        <v>69.55</v>
      </c>
      <c r="H160" s="70" t="s">
        <v>0</v>
      </c>
    </row>
    <row r="161" spans="1:8">
      <c r="A161" s="70">
        <v>0</v>
      </c>
      <c r="B161" s="70">
        <v>3</v>
      </c>
      <c r="C161" s="70" t="s">
        <v>42</v>
      </c>
      <c r="D161" s="70">
        <v>44</v>
      </c>
      <c r="E161" s="70">
        <v>0</v>
      </c>
      <c r="F161" s="70">
        <v>1</v>
      </c>
      <c r="G161" s="129">
        <v>16.100000000000001</v>
      </c>
      <c r="H161" s="70" t="s">
        <v>0</v>
      </c>
    </row>
    <row r="162" spans="1:8">
      <c r="A162" s="70">
        <v>1</v>
      </c>
      <c r="B162" s="70">
        <v>2</v>
      </c>
      <c r="C162" s="70" t="s">
        <v>41</v>
      </c>
      <c r="D162" s="70">
        <v>40</v>
      </c>
      <c r="E162" s="70">
        <v>0</v>
      </c>
      <c r="F162" s="70">
        <v>0</v>
      </c>
      <c r="G162" s="129">
        <v>15.75</v>
      </c>
      <c r="H162" s="70" t="s">
        <v>0</v>
      </c>
    </row>
    <row r="163" spans="1:8">
      <c r="A163" s="70">
        <v>0</v>
      </c>
      <c r="B163" s="70">
        <v>3</v>
      </c>
      <c r="C163" s="70" t="s">
        <v>42</v>
      </c>
      <c r="D163" s="70">
        <v>26</v>
      </c>
      <c r="E163" s="70">
        <v>0</v>
      </c>
      <c r="F163" s="70">
        <v>0</v>
      </c>
      <c r="G163" s="129">
        <v>7.7750000000000004</v>
      </c>
      <c r="H163" s="70" t="s">
        <v>0</v>
      </c>
    </row>
    <row r="164" spans="1:8">
      <c r="A164" s="70">
        <v>0</v>
      </c>
      <c r="B164" s="70">
        <v>3</v>
      </c>
      <c r="C164" s="70" t="s">
        <v>42</v>
      </c>
      <c r="D164" s="70">
        <v>17</v>
      </c>
      <c r="E164" s="70">
        <v>0</v>
      </c>
      <c r="F164" s="70">
        <v>0</v>
      </c>
      <c r="G164" s="129">
        <v>8.6624999999999996</v>
      </c>
      <c r="H164" s="70" t="s">
        <v>0</v>
      </c>
    </row>
    <row r="165" spans="1:8">
      <c r="A165" s="70">
        <v>0</v>
      </c>
      <c r="B165" s="70">
        <v>3</v>
      </c>
      <c r="C165" s="70" t="s">
        <v>42</v>
      </c>
      <c r="D165" s="70">
        <v>1</v>
      </c>
      <c r="E165" s="70">
        <v>4</v>
      </c>
      <c r="F165" s="70">
        <v>1</v>
      </c>
      <c r="G165" s="129">
        <v>39.6875</v>
      </c>
      <c r="H165" s="70" t="s">
        <v>0</v>
      </c>
    </row>
    <row r="166" spans="1:8">
      <c r="A166" s="70">
        <v>1</v>
      </c>
      <c r="B166" s="70">
        <v>3</v>
      </c>
      <c r="C166" s="70" t="s">
        <v>42</v>
      </c>
      <c r="D166" s="70">
        <v>9</v>
      </c>
      <c r="E166" s="70">
        <v>0</v>
      </c>
      <c r="F166" s="70">
        <v>2</v>
      </c>
      <c r="G166" s="129">
        <v>20.524999999999999</v>
      </c>
      <c r="H166" s="70" t="s">
        <v>0</v>
      </c>
    </row>
    <row r="167" spans="1:8">
      <c r="A167" s="70">
        <v>1</v>
      </c>
      <c r="B167" s="70">
        <v>1</v>
      </c>
      <c r="C167" s="70" t="s">
        <v>41</v>
      </c>
      <c r="D167" s="70">
        <v>29.7</v>
      </c>
      <c r="E167" s="70">
        <v>0</v>
      </c>
      <c r="F167" s="70">
        <v>1</v>
      </c>
      <c r="G167" s="129">
        <v>55</v>
      </c>
      <c r="H167" s="70" t="s">
        <v>0</v>
      </c>
    </row>
    <row r="168" spans="1:8">
      <c r="A168" s="70">
        <v>0</v>
      </c>
      <c r="B168" s="70">
        <v>3</v>
      </c>
      <c r="C168" s="70" t="s">
        <v>41</v>
      </c>
      <c r="D168" s="70">
        <v>45</v>
      </c>
      <c r="E168" s="70">
        <v>1</v>
      </c>
      <c r="F168" s="70">
        <v>4</v>
      </c>
      <c r="G168" s="129">
        <v>27.9</v>
      </c>
      <c r="H168" s="70" t="s">
        <v>0</v>
      </c>
    </row>
    <row r="169" spans="1:8">
      <c r="A169" s="70">
        <v>0</v>
      </c>
      <c r="B169" s="70">
        <v>1</v>
      </c>
      <c r="C169" s="70" t="s">
        <v>42</v>
      </c>
      <c r="D169" s="70">
        <v>29.7</v>
      </c>
      <c r="E169" s="70">
        <v>0</v>
      </c>
      <c r="F169" s="70">
        <v>0</v>
      </c>
      <c r="G169" s="129">
        <v>25.925000000000001</v>
      </c>
      <c r="H169" s="70" t="s">
        <v>0</v>
      </c>
    </row>
    <row r="170" spans="1:8">
      <c r="A170" s="70">
        <v>0</v>
      </c>
      <c r="B170" s="70">
        <v>3</v>
      </c>
      <c r="C170" s="70" t="s">
        <v>42</v>
      </c>
      <c r="D170" s="70">
        <v>28</v>
      </c>
      <c r="E170" s="70">
        <v>0</v>
      </c>
      <c r="F170" s="70">
        <v>0</v>
      </c>
      <c r="G170" s="129">
        <v>56.495800000000003</v>
      </c>
      <c r="H170" s="70" t="s">
        <v>0</v>
      </c>
    </row>
    <row r="171" spans="1:8">
      <c r="A171" s="70">
        <v>0</v>
      </c>
      <c r="B171" s="70">
        <v>1</v>
      </c>
      <c r="C171" s="70" t="s">
        <v>42</v>
      </c>
      <c r="D171" s="70">
        <v>61</v>
      </c>
      <c r="E171" s="70">
        <v>0</v>
      </c>
      <c r="F171" s="70">
        <v>0</v>
      </c>
      <c r="G171" s="129">
        <v>33.5</v>
      </c>
      <c r="H171" s="70" t="s">
        <v>0</v>
      </c>
    </row>
    <row r="172" spans="1:8">
      <c r="A172" s="70">
        <v>0</v>
      </c>
      <c r="B172" s="70">
        <v>3</v>
      </c>
      <c r="C172" s="70" t="s">
        <v>42</v>
      </c>
      <c r="D172" s="70">
        <v>4</v>
      </c>
      <c r="E172" s="70">
        <v>4</v>
      </c>
      <c r="F172" s="70">
        <v>1</v>
      </c>
      <c r="G172" s="129">
        <v>29.125</v>
      </c>
      <c r="H172" s="70" t="s">
        <v>2</v>
      </c>
    </row>
    <row r="173" spans="1:8">
      <c r="A173" s="70">
        <v>1</v>
      </c>
      <c r="B173" s="70">
        <v>3</v>
      </c>
      <c r="C173" s="70" t="s">
        <v>41</v>
      </c>
      <c r="D173" s="70">
        <v>1</v>
      </c>
      <c r="E173" s="70">
        <v>1</v>
      </c>
      <c r="F173" s="70">
        <v>1</v>
      </c>
      <c r="G173" s="129">
        <v>11.1333</v>
      </c>
      <c r="H173" s="70" t="s">
        <v>0</v>
      </c>
    </row>
    <row r="174" spans="1:8">
      <c r="A174" s="70">
        <v>0</v>
      </c>
      <c r="B174" s="70">
        <v>3</v>
      </c>
      <c r="C174" s="70" t="s">
        <v>42</v>
      </c>
      <c r="D174" s="70">
        <v>21</v>
      </c>
      <c r="E174" s="70">
        <v>0</v>
      </c>
      <c r="F174" s="70">
        <v>0</v>
      </c>
      <c r="G174" s="129">
        <v>7.9249999999999998</v>
      </c>
      <c r="H174" s="70" t="s">
        <v>0</v>
      </c>
    </row>
    <row r="175" spans="1:8">
      <c r="A175" s="70">
        <v>0</v>
      </c>
      <c r="B175" s="70">
        <v>1</v>
      </c>
      <c r="C175" s="70" t="s">
        <v>42</v>
      </c>
      <c r="D175" s="70">
        <v>56</v>
      </c>
      <c r="E175" s="70">
        <v>0</v>
      </c>
      <c r="F175" s="70">
        <v>0</v>
      </c>
      <c r="G175" s="129">
        <v>30.695799999999998</v>
      </c>
      <c r="H175" s="70" t="s">
        <v>1</v>
      </c>
    </row>
    <row r="176" spans="1:8">
      <c r="A176" s="70">
        <v>0</v>
      </c>
      <c r="B176" s="70">
        <v>3</v>
      </c>
      <c r="C176" s="70" t="s">
        <v>42</v>
      </c>
      <c r="D176" s="70">
        <v>18</v>
      </c>
      <c r="E176" s="70">
        <v>1</v>
      </c>
      <c r="F176" s="70">
        <v>1</v>
      </c>
      <c r="G176" s="129">
        <v>7.8541999999999996</v>
      </c>
      <c r="H176" s="70" t="s">
        <v>0</v>
      </c>
    </row>
    <row r="177" spans="1:8">
      <c r="A177" s="70">
        <v>0</v>
      </c>
      <c r="B177" s="70">
        <v>3</v>
      </c>
      <c r="C177" s="70" t="s">
        <v>42</v>
      </c>
      <c r="D177" s="70">
        <v>29.7</v>
      </c>
      <c r="E177" s="70">
        <v>3</v>
      </c>
      <c r="F177" s="70">
        <v>1</v>
      </c>
      <c r="G177" s="129">
        <v>25.466699999999999</v>
      </c>
      <c r="H177" s="70" t="s">
        <v>0</v>
      </c>
    </row>
    <row r="178" spans="1:8">
      <c r="A178" s="70">
        <v>0</v>
      </c>
      <c r="B178" s="70">
        <v>1</v>
      </c>
      <c r="C178" s="70" t="s">
        <v>41</v>
      </c>
      <c r="D178" s="70">
        <v>50</v>
      </c>
      <c r="E178" s="70">
        <v>0</v>
      </c>
      <c r="F178" s="70">
        <v>0</v>
      </c>
      <c r="G178" s="129">
        <v>28.712499999999999</v>
      </c>
      <c r="H178" s="70" t="s">
        <v>1</v>
      </c>
    </row>
    <row r="179" spans="1:8">
      <c r="A179" s="70">
        <v>0</v>
      </c>
      <c r="B179" s="70">
        <v>2</v>
      </c>
      <c r="C179" s="70" t="s">
        <v>42</v>
      </c>
      <c r="D179" s="70">
        <v>30</v>
      </c>
      <c r="E179" s="70">
        <v>0</v>
      </c>
      <c r="F179" s="70">
        <v>0</v>
      </c>
      <c r="G179" s="129">
        <v>13</v>
      </c>
      <c r="H179" s="70" t="s">
        <v>0</v>
      </c>
    </row>
    <row r="180" spans="1:8">
      <c r="A180" s="70">
        <v>0</v>
      </c>
      <c r="B180" s="70">
        <v>3</v>
      </c>
      <c r="C180" s="70" t="s">
        <v>42</v>
      </c>
      <c r="D180" s="70">
        <v>36</v>
      </c>
      <c r="E180" s="70">
        <v>0</v>
      </c>
      <c r="F180" s="70">
        <v>0</v>
      </c>
      <c r="G180" s="129">
        <v>0</v>
      </c>
      <c r="H180" s="70" t="s">
        <v>0</v>
      </c>
    </row>
    <row r="181" spans="1:8">
      <c r="A181" s="70">
        <v>0</v>
      </c>
      <c r="B181" s="70">
        <v>3</v>
      </c>
      <c r="C181" s="70" t="s">
        <v>41</v>
      </c>
      <c r="D181" s="70">
        <v>29.7</v>
      </c>
      <c r="E181" s="70">
        <v>8</v>
      </c>
      <c r="F181" s="70">
        <v>2</v>
      </c>
      <c r="G181" s="129">
        <v>69.55</v>
      </c>
      <c r="H181" s="70" t="s">
        <v>0</v>
      </c>
    </row>
    <row r="182" spans="1:8">
      <c r="A182" s="70">
        <v>0</v>
      </c>
      <c r="B182" s="70">
        <v>2</v>
      </c>
      <c r="C182" s="70" t="s">
        <v>42</v>
      </c>
      <c r="D182" s="70">
        <v>29.7</v>
      </c>
      <c r="E182" s="70">
        <v>0</v>
      </c>
      <c r="F182" s="70">
        <v>0</v>
      </c>
      <c r="G182" s="129">
        <v>15.05</v>
      </c>
      <c r="H182" s="70" t="s">
        <v>1</v>
      </c>
    </row>
    <row r="183" spans="1:8">
      <c r="A183" s="70">
        <v>0</v>
      </c>
      <c r="B183" s="70">
        <v>3</v>
      </c>
      <c r="C183" s="70" t="s">
        <v>42</v>
      </c>
      <c r="D183" s="70">
        <v>9</v>
      </c>
      <c r="E183" s="70">
        <v>4</v>
      </c>
      <c r="F183" s="70">
        <v>2</v>
      </c>
      <c r="G183" s="129">
        <v>31.387499999999999</v>
      </c>
      <c r="H183" s="70" t="s">
        <v>0</v>
      </c>
    </row>
    <row r="184" spans="1:8">
      <c r="A184" s="70">
        <v>1</v>
      </c>
      <c r="B184" s="70">
        <v>2</v>
      </c>
      <c r="C184" s="70" t="s">
        <v>42</v>
      </c>
      <c r="D184" s="70">
        <v>1</v>
      </c>
      <c r="E184" s="70">
        <v>2</v>
      </c>
      <c r="F184" s="70">
        <v>1</v>
      </c>
      <c r="G184" s="129">
        <v>39</v>
      </c>
      <c r="H184" s="70" t="s">
        <v>0</v>
      </c>
    </row>
    <row r="185" spans="1:8">
      <c r="A185" s="70">
        <v>1</v>
      </c>
      <c r="B185" s="70">
        <v>3</v>
      </c>
      <c r="C185" s="70" t="s">
        <v>41</v>
      </c>
      <c r="D185" s="70">
        <v>4</v>
      </c>
      <c r="E185" s="70">
        <v>0</v>
      </c>
      <c r="F185" s="70">
        <v>2</v>
      </c>
      <c r="G185" s="129">
        <v>22.024999999999999</v>
      </c>
      <c r="H185" s="70" t="s">
        <v>0</v>
      </c>
    </row>
    <row r="186" spans="1:8">
      <c r="A186" s="70">
        <v>0</v>
      </c>
      <c r="B186" s="70">
        <v>1</v>
      </c>
      <c r="C186" s="70" t="s">
        <v>42</v>
      </c>
      <c r="D186" s="70">
        <v>29.7</v>
      </c>
      <c r="E186" s="70">
        <v>0</v>
      </c>
      <c r="F186" s="70">
        <v>0</v>
      </c>
      <c r="G186" s="129">
        <v>50</v>
      </c>
      <c r="H186" s="70" t="s">
        <v>0</v>
      </c>
    </row>
    <row r="187" spans="1:8">
      <c r="A187" s="70">
        <v>1</v>
      </c>
      <c r="B187" s="70">
        <v>3</v>
      </c>
      <c r="C187" s="70" t="s">
        <v>41</v>
      </c>
      <c r="D187" s="70">
        <v>29.7</v>
      </c>
      <c r="E187" s="70">
        <v>1</v>
      </c>
      <c r="F187" s="70">
        <v>0</v>
      </c>
      <c r="G187" s="129">
        <v>15.5</v>
      </c>
      <c r="H187" s="70" t="s">
        <v>2</v>
      </c>
    </row>
    <row r="188" spans="1:8">
      <c r="A188" s="70">
        <v>1</v>
      </c>
      <c r="B188" s="70">
        <v>1</v>
      </c>
      <c r="C188" s="70" t="s">
        <v>42</v>
      </c>
      <c r="D188" s="70">
        <v>45</v>
      </c>
      <c r="E188" s="70">
        <v>0</v>
      </c>
      <c r="F188" s="70">
        <v>0</v>
      </c>
      <c r="G188" s="129">
        <v>26.55</v>
      </c>
      <c r="H188" s="70" t="s">
        <v>0</v>
      </c>
    </row>
    <row r="189" spans="1:8">
      <c r="A189" s="70">
        <v>0</v>
      </c>
      <c r="B189" s="70">
        <v>3</v>
      </c>
      <c r="C189" s="70" t="s">
        <v>42</v>
      </c>
      <c r="D189" s="70">
        <v>40</v>
      </c>
      <c r="E189" s="70">
        <v>1</v>
      </c>
      <c r="F189" s="70">
        <v>1</v>
      </c>
      <c r="G189" s="129">
        <v>15.5</v>
      </c>
      <c r="H189" s="70" t="s">
        <v>2</v>
      </c>
    </row>
    <row r="190" spans="1:8">
      <c r="A190" s="70">
        <v>0</v>
      </c>
      <c r="B190" s="70">
        <v>3</v>
      </c>
      <c r="C190" s="70" t="s">
        <v>42</v>
      </c>
      <c r="D190" s="70">
        <v>36</v>
      </c>
      <c r="E190" s="70">
        <v>0</v>
      </c>
      <c r="F190" s="70">
        <v>0</v>
      </c>
      <c r="G190" s="129">
        <v>7.8958000000000004</v>
      </c>
      <c r="H190" s="70" t="s">
        <v>0</v>
      </c>
    </row>
    <row r="191" spans="1:8">
      <c r="A191" s="70">
        <v>1</v>
      </c>
      <c r="B191" s="70">
        <v>2</v>
      </c>
      <c r="C191" s="70" t="s">
        <v>41</v>
      </c>
      <c r="D191" s="70">
        <v>32</v>
      </c>
      <c r="E191" s="70">
        <v>0</v>
      </c>
      <c r="F191" s="70">
        <v>0</v>
      </c>
      <c r="G191" s="129">
        <v>13</v>
      </c>
      <c r="H191" s="70" t="s">
        <v>0</v>
      </c>
    </row>
    <row r="192" spans="1:8">
      <c r="A192" s="70">
        <v>0</v>
      </c>
      <c r="B192" s="70">
        <v>2</v>
      </c>
      <c r="C192" s="70" t="s">
        <v>42</v>
      </c>
      <c r="D192" s="70">
        <v>19</v>
      </c>
      <c r="E192" s="70">
        <v>0</v>
      </c>
      <c r="F192" s="70">
        <v>0</v>
      </c>
      <c r="G192" s="129">
        <v>13</v>
      </c>
      <c r="H192" s="70" t="s">
        <v>0</v>
      </c>
    </row>
    <row r="193" spans="1:8">
      <c r="A193" s="70">
        <v>1</v>
      </c>
      <c r="B193" s="70">
        <v>3</v>
      </c>
      <c r="C193" s="70" t="s">
        <v>41</v>
      </c>
      <c r="D193" s="70">
        <v>19</v>
      </c>
      <c r="E193" s="70">
        <v>1</v>
      </c>
      <c r="F193" s="70">
        <v>0</v>
      </c>
      <c r="G193" s="129">
        <v>7.8541999999999996</v>
      </c>
      <c r="H193" s="70" t="s">
        <v>0</v>
      </c>
    </row>
    <row r="194" spans="1:8">
      <c r="A194" s="70">
        <v>1</v>
      </c>
      <c r="B194" s="70">
        <v>2</v>
      </c>
      <c r="C194" s="70" t="s">
        <v>42</v>
      </c>
      <c r="D194" s="70">
        <v>3</v>
      </c>
      <c r="E194" s="70">
        <v>1</v>
      </c>
      <c r="F194" s="70">
        <v>1</v>
      </c>
      <c r="G194" s="129">
        <v>26</v>
      </c>
      <c r="H194" s="70" t="s">
        <v>0</v>
      </c>
    </row>
    <row r="195" spans="1:8">
      <c r="A195" s="70">
        <v>1</v>
      </c>
      <c r="B195" s="70">
        <v>1</v>
      </c>
      <c r="C195" s="70" t="s">
        <v>41</v>
      </c>
      <c r="D195" s="70">
        <v>44</v>
      </c>
      <c r="E195" s="70">
        <v>0</v>
      </c>
      <c r="F195" s="70">
        <v>0</v>
      </c>
      <c r="G195" s="129">
        <v>27.720800000000001</v>
      </c>
      <c r="H195" s="70" t="s">
        <v>1</v>
      </c>
    </row>
    <row r="196" spans="1:8">
      <c r="A196" s="70">
        <v>1</v>
      </c>
      <c r="B196" s="70">
        <v>1</v>
      </c>
      <c r="C196" s="70" t="s">
        <v>41</v>
      </c>
      <c r="D196" s="70">
        <v>58</v>
      </c>
      <c r="E196" s="70">
        <v>0</v>
      </c>
      <c r="F196" s="70">
        <v>0</v>
      </c>
      <c r="G196" s="129">
        <v>146.52080000000001</v>
      </c>
      <c r="H196" s="70" t="s">
        <v>1</v>
      </c>
    </row>
    <row r="197" spans="1:8">
      <c r="A197" s="70">
        <v>0</v>
      </c>
      <c r="B197" s="70">
        <v>3</v>
      </c>
      <c r="C197" s="70" t="s">
        <v>42</v>
      </c>
      <c r="D197" s="70">
        <v>29.7</v>
      </c>
      <c r="E197" s="70">
        <v>0</v>
      </c>
      <c r="F197" s="70">
        <v>0</v>
      </c>
      <c r="G197" s="129">
        <v>7.75</v>
      </c>
      <c r="H197" s="70" t="s">
        <v>2</v>
      </c>
    </row>
    <row r="198" spans="1:8">
      <c r="A198" s="70">
        <v>0</v>
      </c>
      <c r="B198" s="70">
        <v>3</v>
      </c>
      <c r="C198" s="70" t="s">
        <v>42</v>
      </c>
      <c r="D198" s="70">
        <v>42</v>
      </c>
      <c r="E198" s="70">
        <v>0</v>
      </c>
      <c r="F198" s="70">
        <v>1</v>
      </c>
      <c r="G198" s="129">
        <v>8.4041999999999994</v>
      </c>
      <c r="H198" s="70" t="s">
        <v>0</v>
      </c>
    </row>
    <row r="199" spans="1:8">
      <c r="A199" s="70">
        <v>1</v>
      </c>
      <c r="B199" s="70">
        <v>3</v>
      </c>
      <c r="C199" s="70" t="s">
        <v>41</v>
      </c>
      <c r="D199" s="70">
        <v>29.7</v>
      </c>
      <c r="E199" s="70">
        <v>0</v>
      </c>
      <c r="F199" s="70">
        <v>0</v>
      </c>
      <c r="G199" s="129">
        <v>7.75</v>
      </c>
      <c r="H199" s="70" t="s">
        <v>2</v>
      </c>
    </row>
    <row r="200" spans="1:8">
      <c r="A200" s="70">
        <v>0</v>
      </c>
      <c r="B200" s="70">
        <v>2</v>
      </c>
      <c r="C200" s="70" t="s">
        <v>41</v>
      </c>
      <c r="D200" s="70">
        <v>24</v>
      </c>
      <c r="E200" s="70">
        <v>0</v>
      </c>
      <c r="F200" s="70">
        <v>0</v>
      </c>
      <c r="G200" s="129">
        <v>13</v>
      </c>
      <c r="H200" s="70" t="s">
        <v>0</v>
      </c>
    </row>
    <row r="201" spans="1:8">
      <c r="A201" s="70">
        <v>0</v>
      </c>
      <c r="B201" s="70">
        <v>3</v>
      </c>
      <c r="C201" s="70" t="s">
        <v>42</v>
      </c>
      <c r="D201" s="70">
        <v>28</v>
      </c>
      <c r="E201" s="70">
        <v>0</v>
      </c>
      <c r="F201" s="70">
        <v>0</v>
      </c>
      <c r="G201" s="129">
        <v>9.5</v>
      </c>
      <c r="H201" s="70" t="s">
        <v>0</v>
      </c>
    </row>
    <row r="202" spans="1:8">
      <c r="A202" s="70">
        <v>0</v>
      </c>
      <c r="B202" s="70">
        <v>3</v>
      </c>
      <c r="C202" s="70" t="s">
        <v>42</v>
      </c>
      <c r="D202" s="70">
        <v>29.7</v>
      </c>
      <c r="E202" s="70">
        <v>8</v>
      </c>
      <c r="F202" s="70">
        <v>2</v>
      </c>
      <c r="G202" s="129">
        <v>69.55</v>
      </c>
      <c r="H202" s="70" t="s">
        <v>0</v>
      </c>
    </row>
    <row r="203" spans="1:8">
      <c r="A203" s="70">
        <v>0</v>
      </c>
      <c r="B203" s="70">
        <v>3</v>
      </c>
      <c r="C203" s="70" t="s">
        <v>42</v>
      </c>
      <c r="D203" s="70">
        <v>34</v>
      </c>
      <c r="E203" s="70">
        <v>0</v>
      </c>
      <c r="F203" s="70">
        <v>0</v>
      </c>
      <c r="G203" s="129">
        <v>6.4958</v>
      </c>
      <c r="H203" s="70" t="s">
        <v>0</v>
      </c>
    </row>
    <row r="204" spans="1:8">
      <c r="A204" s="70">
        <v>0</v>
      </c>
      <c r="B204" s="70">
        <v>3</v>
      </c>
      <c r="C204" s="70" t="s">
        <v>42</v>
      </c>
      <c r="D204" s="70">
        <v>45.5</v>
      </c>
      <c r="E204" s="70">
        <v>0</v>
      </c>
      <c r="F204" s="70">
        <v>0</v>
      </c>
      <c r="G204" s="129">
        <v>7.2249999999999996</v>
      </c>
      <c r="H204" s="70" t="s">
        <v>1</v>
      </c>
    </row>
    <row r="205" spans="1:8">
      <c r="A205" s="70">
        <v>1</v>
      </c>
      <c r="B205" s="70">
        <v>3</v>
      </c>
      <c r="C205" s="70" t="s">
        <v>42</v>
      </c>
      <c r="D205" s="70">
        <v>18</v>
      </c>
      <c r="E205" s="70">
        <v>0</v>
      </c>
      <c r="F205" s="70">
        <v>0</v>
      </c>
      <c r="G205" s="129">
        <v>8.0500000000000007</v>
      </c>
      <c r="H205" s="70" t="s">
        <v>0</v>
      </c>
    </row>
    <row r="206" spans="1:8">
      <c r="A206" s="70">
        <v>0</v>
      </c>
      <c r="B206" s="70">
        <v>3</v>
      </c>
      <c r="C206" s="70" t="s">
        <v>41</v>
      </c>
      <c r="D206" s="70">
        <v>2</v>
      </c>
      <c r="E206" s="70">
        <v>0</v>
      </c>
      <c r="F206" s="70">
        <v>1</v>
      </c>
      <c r="G206" s="129">
        <v>10.4625</v>
      </c>
      <c r="H206" s="70" t="s">
        <v>0</v>
      </c>
    </row>
    <row r="207" spans="1:8">
      <c r="A207" s="70">
        <v>0</v>
      </c>
      <c r="B207" s="70">
        <v>3</v>
      </c>
      <c r="C207" s="70" t="s">
        <v>42</v>
      </c>
      <c r="D207" s="70">
        <v>32</v>
      </c>
      <c r="E207" s="70">
        <v>1</v>
      </c>
      <c r="F207" s="70">
        <v>0</v>
      </c>
      <c r="G207" s="129">
        <v>15.85</v>
      </c>
      <c r="H207" s="70" t="s">
        <v>0</v>
      </c>
    </row>
    <row r="208" spans="1:8">
      <c r="A208" s="70">
        <v>1</v>
      </c>
      <c r="B208" s="70">
        <v>3</v>
      </c>
      <c r="C208" s="70" t="s">
        <v>42</v>
      </c>
      <c r="D208" s="70">
        <v>26</v>
      </c>
      <c r="E208" s="70">
        <v>0</v>
      </c>
      <c r="F208" s="70">
        <v>0</v>
      </c>
      <c r="G208" s="129">
        <v>18.787500000000001</v>
      </c>
      <c r="H208" s="70" t="s">
        <v>1</v>
      </c>
    </row>
    <row r="209" spans="1:8">
      <c r="A209" s="70">
        <v>1</v>
      </c>
      <c r="B209" s="70">
        <v>3</v>
      </c>
      <c r="C209" s="70" t="s">
        <v>41</v>
      </c>
      <c r="D209" s="70">
        <v>16</v>
      </c>
      <c r="E209" s="70">
        <v>0</v>
      </c>
      <c r="F209" s="70">
        <v>0</v>
      </c>
      <c r="G209" s="129">
        <v>7.75</v>
      </c>
      <c r="H209" s="70" t="s">
        <v>2</v>
      </c>
    </row>
    <row r="210" spans="1:8">
      <c r="A210" s="70">
        <v>1</v>
      </c>
      <c r="B210" s="70">
        <v>1</v>
      </c>
      <c r="C210" s="70" t="s">
        <v>42</v>
      </c>
      <c r="D210" s="70">
        <v>40</v>
      </c>
      <c r="E210" s="70">
        <v>0</v>
      </c>
      <c r="F210" s="70">
        <v>0</v>
      </c>
      <c r="G210" s="129">
        <v>31</v>
      </c>
      <c r="H210" s="70" t="s">
        <v>1</v>
      </c>
    </row>
    <row r="211" spans="1:8">
      <c r="A211" s="70">
        <v>0</v>
      </c>
      <c r="B211" s="70">
        <v>3</v>
      </c>
      <c r="C211" s="70" t="s">
        <v>42</v>
      </c>
      <c r="D211" s="70">
        <v>24</v>
      </c>
      <c r="E211" s="70">
        <v>0</v>
      </c>
      <c r="F211" s="70">
        <v>0</v>
      </c>
      <c r="G211" s="129">
        <v>7.05</v>
      </c>
      <c r="H211" s="70" t="s">
        <v>0</v>
      </c>
    </row>
    <row r="212" spans="1:8">
      <c r="A212" s="70">
        <v>1</v>
      </c>
      <c r="B212" s="70">
        <v>2</v>
      </c>
      <c r="C212" s="70" t="s">
        <v>41</v>
      </c>
      <c r="D212" s="70">
        <v>35</v>
      </c>
      <c r="E212" s="70">
        <v>0</v>
      </c>
      <c r="F212" s="70">
        <v>0</v>
      </c>
      <c r="G212" s="129">
        <v>21</v>
      </c>
      <c r="H212" s="70" t="s">
        <v>0</v>
      </c>
    </row>
    <row r="213" spans="1:8">
      <c r="A213" s="70">
        <v>0</v>
      </c>
      <c r="B213" s="70">
        <v>3</v>
      </c>
      <c r="C213" s="70" t="s">
        <v>42</v>
      </c>
      <c r="D213" s="70">
        <v>22</v>
      </c>
      <c r="E213" s="70">
        <v>0</v>
      </c>
      <c r="F213" s="70">
        <v>0</v>
      </c>
      <c r="G213" s="129">
        <v>7.25</v>
      </c>
      <c r="H213" s="70" t="s">
        <v>0</v>
      </c>
    </row>
    <row r="214" spans="1:8">
      <c r="A214" s="70">
        <v>0</v>
      </c>
      <c r="B214" s="70">
        <v>2</v>
      </c>
      <c r="C214" s="70" t="s">
        <v>42</v>
      </c>
      <c r="D214" s="70">
        <v>30</v>
      </c>
      <c r="E214" s="70">
        <v>0</v>
      </c>
      <c r="F214" s="70">
        <v>0</v>
      </c>
      <c r="G214" s="129">
        <v>13</v>
      </c>
      <c r="H214" s="70" t="s">
        <v>0</v>
      </c>
    </row>
    <row r="215" spans="1:8">
      <c r="A215" s="70">
        <v>0</v>
      </c>
      <c r="B215" s="70">
        <v>3</v>
      </c>
      <c r="C215" s="70" t="s">
        <v>42</v>
      </c>
      <c r="D215" s="70">
        <v>29.7</v>
      </c>
      <c r="E215" s="70">
        <v>1</v>
      </c>
      <c r="F215" s="70">
        <v>0</v>
      </c>
      <c r="G215" s="129">
        <v>7.75</v>
      </c>
      <c r="H215" s="70" t="s">
        <v>2</v>
      </c>
    </row>
    <row r="216" spans="1:8">
      <c r="A216" s="70">
        <v>1</v>
      </c>
      <c r="B216" s="70">
        <v>1</v>
      </c>
      <c r="C216" s="70" t="s">
        <v>41</v>
      </c>
      <c r="D216" s="70">
        <v>31</v>
      </c>
      <c r="E216" s="70">
        <v>1</v>
      </c>
      <c r="F216" s="70">
        <v>0</v>
      </c>
      <c r="G216" s="129">
        <v>113.27500000000001</v>
      </c>
      <c r="H216" s="70" t="s">
        <v>1</v>
      </c>
    </row>
    <row r="217" spans="1:8">
      <c r="A217" s="70">
        <v>1</v>
      </c>
      <c r="B217" s="70">
        <v>3</v>
      </c>
      <c r="C217" s="70" t="s">
        <v>41</v>
      </c>
      <c r="D217" s="70">
        <v>27</v>
      </c>
      <c r="E217" s="70">
        <v>0</v>
      </c>
      <c r="F217" s="70">
        <v>0</v>
      </c>
      <c r="G217" s="129">
        <v>7.9249999999999998</v>
      </c>
      <c r="H217" s="70" t="s">
        <v>0</v>
      </c>
    </row>
    <row r="218" spans="1:8">
      <c r="A218" s="70">
        <v>0</v>
      </c>
      <c r="B218" s="70">
        <v>2</v>
      </c>
      <c r="C218" s="70" t="s">
        <v>42</v>
      </c>
      <c r="D218" s="70">
        <v>42</v>
      </c>
      <c r="E218" s="70">
        <v>1</v>
      </c>
      <c r="F218" s="70">
        <v>0</v>
      </c>
      <c r="G218" s="129">
        <v>27</v>
      </c>
      <c r="H218" s="70" t="s">
        <v>0</v>
      </c>
    </row>
    <row r="219" spans="1:8">
      <c r="A219" s="70">
        <v>1</v>
      </c>
      <c r="B219" s="70">
        <v>1</v>
      </c>
      <c r="C219" s="70" t="s">
        <v>41</v>
      </c>
      <c r="D219" s="70">
        <v>32</v>
      </c>
      <c r="E219" s="70">
        <v>0</v>
      </c>
      <c r="F219" s="70">
        <v>0</v>
      </c>
      <c r="G219" s="129">
        <v>76.291700000000006</v>
      </c>
      <c r="H219" s="70" t="s">
        <v>1</v>
      </c>
    </row>
    <row r="220" spans="1:8">
      <c r="A220" s="70">
        <v>0</v>
      </c>
      <c r="B220" s="70">
        <v>2</v>
      </c>
      <c r="C220" s="70" t="s">
        <v>42</v>
      </c>
      <c r="D220" s="70">
        <v>30</v>
      </c>
      <c r="E220" s="70">
        <v>0</v>
      </c>
      <c r="F220" s="70">
        <v>0</v>
      </c>
      <c r="G220" s="129">
        <v>10.5</v>
      </c>
      <c r="H220" s="70" t="s">
        <v>0</v>
      </c>
    </row>
    <row r="221" spans="1:8">
      <c r="A221" s="70">
        <v>1</v>
      </c>
      <c r="B221" s="70">
        <v>3</v>
      </c>
      <c r="C221" s="70" t="s">
        <v>42</v>
      </c>
      <c r="D221" s="70">
        <v>16</v>
      </c>
      <c r="E221" s="70">
        <v>0</v>
      </c>
      <c r="F221" s="70">
        <v>0</v>
      </c>
      <c r="G221" s="129">
        <v>8.0500000000000007</v>
      </c>
      <c r="H221" s="70" t="s">
        <v>0</v>
      </c>
    </row>
    <row r="222" spans="1:8">
      <c r="A222" s="70">
        <v>0</v>
      </c>
      <c r="B222" s="70">
        <v>2</v>
      </c>
      <c r="C222" s="70" t="s">
        <v>42</v>
      </c>
      <c r="D222" s="70">
        <v>27</v>
      </c>
      <c r="E222" s="70">
        <v>0</v>
      </c>
      <c r="F222" s="70">
        <v>0</v>
      </c>
      <c r="G222" s="129">
        <v>13</v>
      </c>
      <c r="H222" s="70" t="s">
        <v>0</v>
      </c>
    </row>
    <row r="223" spans="1:8">
      <c r="A223" s="70">
        <v>0</v>
      </c>
      <c r="B223" s="70">
        <v>3</v>
      </c>
      <c r="C223" s="70" t="s">
        <v>42</v>
      </c>
      <c r="D223" s="70">
        <v>51</v>
      </c>
      <c r="E223" s="70">
        <v>0</v>
      </c>
      <c r="F223" s="70">
        <v>0</v>
      </c>
      <c r="G223" s="129">
        <v>8.0500000000000007</v>
      </c>
      <c r="H223" s="70" t="s">
        <v>0</v>
      </c>
    </row>
    <row r="224" spans="1:8">
      <c r="A224" s="70">
        <v>0</v>
      </c>
      <c r="B224" s="70">
        <v>3</v>
      </c>
      <c r="C224" s="70" t="s">
        <v>42</v>
      </c>
      <c r="D224" s="70">
        <v>29.7</v>
      </c>
      <c r="E224" s="70">
        <v>0</v>
      </c>
      <c r="F224" s="70">
        <v>0</v>
      </c>
      <c r="G224" s="129">
        <v>7.8958000000000004</v>
      </c>
      <c r="H224" s="70" t="s">
        <v>0</v>
      </c>
    </row>
    <row r="225" spans="1:8">
      <c r="A225" s="70">
        <v>1</v>
      </c>
      <c r="B225" s="70">
        <v>1</v>
      </c>
      <c r="C225" s="70" t="s">
        <v>42</v>
      </c>
      <c r="D225" s="70">
        <v>38</v>
      </c>
      <c r="E225" s="70">
        <v>1</v>
      </c>
      <c r="F225" s="70">
        <v>0</v>
      </c>
      <c r="G225" s="129">
        <v>90</v>
      </c>
      <c r="H225" s="70" t="s">
        <v>0</v>
      </c>
    </row>
    <row r="226" spans="1:8">
      <c r="A226" s="70">
        <v>0</v>
      </c>
      <c r="B226" s="70">
        <v>3</v>
      </c>
      <c r="C226" s="70" t="s">
        <v>42</v>
      </c>
      <c r="D226" s="70">
        <v>22</v>
      </c>
      <c r="E226" s="70">
        <v>0</v>
      </c>
      <c r="F226" s="70">
        <v>0</v>
      </c>
      <c r="G226" s="129">
        <v>9.35</v>
      </c>
      <c r="H226" s="70" t="s">
        <v>0</v>
      </c>
    </row>
    <row r="227" spans="1:8">
      <c r="A227" s="70">
        <v>1</v>
      </c>
      <c r="B227" s="70">
        <v>2</v>
      </c>
      <c r="C227" s="70" t="s">
        <v>42</v>
      </c>
      <c r="D227" s="70">
        <v>19</v>
      </c>
      <c r="E227" s="70">
        <v>0</v>
      </c>
      <c r="F227" s="70">
        <v>0</v>
      </c>
      <c r="G227" s="129">
        <v>10.5</v>
      </c>
      <c r="H227" s="70" t="s">
        <v>0</v>
      </c>
    </row>
    <row r="228" spans="1:8">
      <c r="A228" s="70">
        <v>0</v>
      </c>
      <c r="B228" s="70">
        <v>3</v>
      </c>
      <c r="C228" s="70" t="s">
        <v>42</v>
      </c>
      <c r="D228" s="70">
        <v>20.5</v>
      </c>
      <c r="E228" s="70">
        <v>0</v>
      </c>
      <c r="F228" s="70">
        <v>0</v>
      </c>
      <c r="G228" s="129">
        <v>7.25</v>
      </c>
      <c r="H228" s="70" t="s">
        <v>0</v>
      </c>
    </row>
    <row r="229" spans="1:8">
      <c r="A229" s="70">
        <v>0</v>
      </c>
      <c r="B229" s="70">
        <v>2</v>
      </c>
      <c r="C229" s="70" t="s">
        <v>42</v>
      </c>
      <c r="D229" s="70">
        <v>18</v>
      </c>
      <c r="E229" s="70">
        <v>0</v>
      </c>
      <c r="F229" s="70">
        <v>0</v>
      </c>
      <c r="G229" s="129">
        <v>13</v>
      </c>
      <c r="H229" s="70" t="s">
        <v>0</v>
      </c>
    </row>
    <row r="230" spans="1:8">
      <c r="A230" s="70">
        <v>0</v>
      </c>
      <c r="B230" s="70">
        <v>3</v>
      </c>
      <c r="C230" s="70" t="s">
        <v>41</v>
      </c>
      <c r="D230" s="70">
        <v>29.7</v>
      </c>
      <c r="E230" s="70">
        <v>3</v>
      </c>
      <c r="F230" s="70">
        <v>1</v>
      </c>
      <c r="G230" s="129">
        <v>25.466699999999999</v>
      </c>
      <c r="H230" s="70" t="s">
        <v>0</v>
      </c>
    </row>
    <row r="231" spans="1:8">
      <c r="A231" s="70">
        <v>1</v>
      </c>
      <c r="B231" s="70">
        <v>1</v>
      </c>
      <c r="C231" s="70" t="s">
        <v>41</v>
      </c>
      <c r="D231" s="70">
        <v>35</v>
      </c>
      <c r="E231" s="70">
        <v>1</v>
      </c>
      <c r="F231" s="70">
        <v>0</v>
      </c>
      <c r="G231" s="129">
        <v>83.474999999999994</v>
      </c>
      <c r="H231" s="70" t="s">
        <v>0</v>
      </c>
    </row>
    <row r="232" spans="1:8">
      <c r="A232" s="70">
        <v>0</v>
      </c>
      <c r="B232" s="70">
        <v>3</v>
      </c>
      <c r="C232" s="70" t="s">
        <v>42</v>
      </c>
      <c r="D232" s="70">
        <v>29</v>
      </c>
      <c r="E232" s="70">
        <v>0</v>
      </c>
      <c r="F232" s="70">
        <v>0</v>
      </c>
      <c r="G232" s="129">
        <v>7.7750000000000004</v>
      </c>
      <c r="H232" s="70" t="s">
        <v>0</v>
      </c>
    </row>
    <row r="233" spans="1:8">
      <c r="A233" s="70">
        <v>0</v>
      </c>
      <c r="B233" s="70">
        <v>2</v>
      </c>
      <c r="C233" s="70" t="s">
        <v>42</v>
      </c>
      <c r="D233" s="70">
        <v>59</v>
      </c>
      <c r="E233" s="70">
        <v>0</v>
      </c>
      <c r="F233" s="70">
        <v>0</v>
      </c>
      <c r="G233" s="129">
        <v>13.5</v>
      </c>
      <c r="H233" s="70" t="s">
        <v>0</v>
      </c>
    </row>
    <row r="234" spans="1:8">
      <c r="A234" s="70">
        <v>1</v>
      </c>
      <c r="B234" s="70">
        <v>3</v>
      </c>
      <c r="C234" s="70" t="s">
        <v>41</v>
      </c>
      <c r="D234" s="70">
        <v>5</v>
      </c>
      <c r="E234" s="70">
        <v>4</v>
      </c>
      <c r="F234" s="70">
        <v>2</v>
      </c>
      <c r="G234" s="129">
        <v>31.387499999999999</v>
      </c>
      <c r="H234" s="70" t="s">
        <v>0</v>
      </c>
    </row>
    <row r="235" spans="1:8">
      <c r="A235" s="70">
        <v>0</v>
      </c>
      <c r="B235" s="70">
        <v>2</v>
      </c>
      <c r="C235" s="70" t="s">
        <v>42</v>
      </c>
      <c r="D235" s="70">
        <v>24</v>
      </c>
      <c r="E235" s="70">
        <v>0</v>
      </c>
      <c r="F235" s="70">
        <v>0</v>
      </c>
      <c r="G235" s="129">
        <v>10.5</v>
      </c>
      <c r="H235" s="70" t="s">
        <v>0</v>
      </c>
    </row>
    <row r="236" spans="1:8">
      <c r="A236" s="70">
        <v>0</v>
      </c>
      <c r="B236" s="70">
        <v>3</v>
      </c>
      <c r="C236" s="70" t="s">
        <v>41</v>
      </c>
      <c r="D236" s="70">
        <v>29.7</v>
      </c>
      <c r="E236" s="70">
        <v>0</v>
      </c>
      <c r="F236" s="70">
        <v>0</v>
      </c>
      <c r="G236" s="129">
        <v>7.55</v>
      </c>
      <c r="H236" s="70" t="s">
        <v>0</v>
      </c>
    </row>
    <row r="237" spans="1:8">
      <c r="A237" s="70">
        <v>0</v>
      </c>
      <c r="B237" s="70">
        <v>2</v>
      </c>
      <c r="C237" s="70" t="s">
        <v>42</v>
      </c>
      <c r="D237" s="70">
        <v>44</v>
      </c>
      <c r="E237" s="70">
        <v>1</v>
      </c>
      <c r="F237" s="70">
        <v>0</v>
      </c>
      <c r="G237" s="129">
        <v>26</v>
      </c>
      <c r="H237" s="70" t="s">
        <v>0</v>
      </c>
    </row>
    <row r="238" spans="1:8">
      <c r="A238" s="70">
        <v>1</v>
      </c>
      <c r="B238" s="70">
        <v>2</v>
      </c>
      <c r="C238" s="70" t="s">
        <v>41</v>
      </c>
      <c r="D238" s="70">
        <v>8</v>
      </c>
      <c r="E238" s="70">
        <v>0</v>
      </c>
      <c r="F238" s="70">
        <v>2</v>
      </c>
      <c r="G238" s="129">
        <v>26.25</v>
      </c>
      <c r="H238" s="70" t="s">
        <v>0</v>
      </c>
    </row>
    <row r="239" spans="1:8">
      <c r="A239" s="70">
        <v>0</v>
      </c>
      <c r="B239" s="70">
        <v>2</v>
      </c>
      <c r="C239" s="70" t="s">
        <v>42</v>
      </c>
      <c r="D239" s="70">
        <v>19</v>
      </c>
      <c r="E239" s="70">
        <v>0</v>
      </c>
      <c r="F239" s="70">
        <v>0</v>
      </c>
      <c r="G239" s="129">
        <v>10.5</v>
      </c>
      <c r="H239" s="70" t="s">
        <v>0</v>
      </c>
    </row>
    <row r="240" spans="1:8">
      <c r="A240" s="70">
        <v>0</v>
      </c>
      <c r="B240" s="70">
        <v>2</v>
      </c>
      <c r="C240" s="70" t="s">
        <v>42</v>
      </c>
      <c r="D240" s="70">
        <v>33</v>
      </c>
      <c r="E240" s="70">
        <v>0</v>
      </c>
      <c r="F240" s="70">
        <v>0</v>
      </c>
      <c r="G240" s="129">
        <v>12.275</v>
      </c>
      <c r="H240" s="70" t="s">
        <v>0</v>
      </c>
    </row>
    <row r="241" spans="1:8">
      <c r="A241" s="70">
        <v>0</v>
      </c>
      <c r="B241" s="70">
        <v>3</v>
      </c>
      <c r="C241" s="70" t="s">
        <v>41</v>
      </c>
      <c r="D241" s="70">
        <v>29.7</v>
      </c>
      <c r="E241" s="70">
        <v>1</v>
      </c>
      <c r="F241" s="70">
        <v>0</v>
      </c>
      <c r="G241" s="129">
        <v>14.4542</v>
      </c>
      <c r="H241" s="70" t="s">
        <v>1</v>
      </c>
    </row>
    <row r="242" spans="1:8">
      <c r="A242" s="70">
        <v>1</v>
      </c>
      <c r="B242" s="70">
        <v>3</v>
      </c>
      <c r="C242" s="70" t="s">
        <v>41</v>
      </c>
      <c r="D242" s="70">
        <v>29.7</v>
      </c>
      <c r="E242" s="70">
        <v>1</v>
      </c>
      <c r="F242" s="70">
        <v>0</v>
      </c>
      <c r="G242" s="129">
        <v>15.5</v>
      </c>
      <c r="H242" s="70" t="s">
        <v>2</v>
      </c>
    </row>
    <row r="243" spans="1:8">
      <c r="A243" s="70">
        <v>0</v>
      </c>
      <c r="B243" s="70">
        <v>2</v>
      </c>
      <c r="C243" s="70" t="s">
        <v>42</v>
      </c>
      <c r="D243" s="70">
        <v>29</v>
      </c>
      <c r="E243" s="70">
        <v>0</v>
      </c>
      <c r="F243" s="70">
        <v>0</v>
      </c>
      <c r="G243" s="129">
        <v>10.5</v>
      </c>
      <c r="H243" s="70" t="s">
        <v>0</v>
      </c>
    </row>
    <row r="244" spans="1:8">
      <c r="A244" s="70">
        <v>0</v>
      </c>
      <c r="B244" s="70">
        <v>3</v>
      </c>
      <c r="C244" s="70" t="s">
        <v>42</v>
      </c>
      <c r="D244" s="70">
        <v>22</v>
      </c>
      <c r="E244" s="70">
        <v>0</v>
      </c>
      <c r="F244" s="70">
        <v>0</v>
      </c>
      <c r="G244" s="129">
        <v>7.125</v>
      </c>
      <c r="H244" s="70" t="s">
        <v>0</v>
      </c>
    </row>
    <row r="245" spans="1:8">
      <c r="A245" s="70">
        <v>0</v>
      </c>
      <c r="B245" s="70">
        <v>3</v>
      </c>
      <c r="C245" s="70" t="s">
        <v>42</v>
      </c>
      <c r="D245" s="70">
        <v>30</v>
      </c>
      <c r="E245" s="70">
        <v>0</v>
      </c>
      <c r="F245" s="70">
        <v>0</v>
      </c>
      <c r="G245" s="129">
        <v>7.2249999999999996</v>
      </c>
      <c r="H245" s="70" t="s">
        <v>1</v>
      </c>
    </row>
    <row r="246" spans="1:8">
      <c r="A246" s="70">
        <v>0</v>
      </c>
      <c r="B246" s="70">
        <v>1</v>
      </c>
      <c r="C246" s="70" t="s">
        <v>42</v>
      </c>
      <c r="D246" s="70">
        <v>44</v>
      </c>
      <c r="E246" s="70">
        <v>2</v>
      </c>
      <c r="F246" s="70">
        <v>0</v>
      </c>
      <c r="G246" s="129">
        <v>90</v>
      </c>
      <c r="H246" s="70" t="s">
        <v>2</v>
      </c>
    </row>
    <row r="247" spans="1:8">
      <c r="A247" s="70">
        <v>0</v>
      </c>
      <c r="B247" s="70">
        <v>3</v>
      </c>
      <c r="C247" s="70" t="s">
        <v>41</v>
      </c>
      <c r="D247" s="70">
        <v>25</v>
      </c>
      <c r="E247" s="70">
        <v>0</v>
      </c>
      <c r="F247" s="70">
        <v>0</v>
      </c>
      <c r="G247" s="129">
        <v>7.7750000000000004</v>
      </c>
      <c r="H247" s="70" t="s">
        <v>0</v>
      </c>
    </row>
    <row r="248" spans="1:8">
      <c r="A248" s="70">
        <v>1</v>
      </c>
      <c r="B248" s="70">
        <v>2</v>
      </c>
      <c r="C248" s="70" t="s">
        <v>41</v>
      </c>
      <c r="D248" s="70">
        <v>24</v>
      </c>
      <c r="E248" s="70">
        <v>0</v>
      </c>
      <c r="F248" s="70">
        <v>2</v>
      </c>
      <c r="G248" s="129">
        <v>14.5</v>
      </c>
      <c r="H248" s="70" t="s">
        <v>0</v>
      </c>
    </row>
    <row r="249" spans="1:8">
      <c r="A249" s="70">
        <v>1</v>
      </c>
      <c r="B249" s="70">
        <v>1</v>
      </c>
      <c r="C249" s="70" t="s">
        <v>42</v>
      </c>
      <c r="D249" s="70">
        <v>37</v>
      </c>
      <c r="E249" s="70">
        <v>1</v>
      </c>
      <c r="F249" s="70">
        <v>1</v>
      </c>
      <c r="G249" s="129">
        <v>52.554200000000002</v>
      </c>
      <c r="H249" s="70" t="s">
        <v>0</v>
      </c>
    </row>
    <row r="250" spans="1:8">
      <c r="A250" s="70">
        <v>0</v>
      </c>
      <c r="B250" s="70">
        <v>2</v>
      </c>
      <c r="C250" s="70" t="s">
        <v>42</v>
      </c>
      <c r="D250" s="70">
        <v>54</v>
      </c>
      <c r="E250" s="70">
        <v>1</v>
      </c>
      <c r="F250" s="70">
        <v>0</v>
      </c>
      <c r="G250" s="129">
        <v>26</v>
      </c>
      <c r="H250" s="70" t="s">
        <v>0</v>
      </c>
    </row>
    <row r="251" spans="1:8">
      <c r="A251" s="70">
        <v>0</v>
      </c>
      <c r="B251" s="70">
        <v>3</v>
      </c>
      <c r="C251" s="70" t="s">
        <v>42</v>
      </c>
      <c r="D251" s="70">
        <v>29.7</v>
      </c>
      <c r="E251" s="70">
        <v>0</v>
      </c>
      <c r="F251" s="70">
        <v>0</v>
      </c>
      <c r="G251" s="129">
        <v>7.25</v>
      </c>
      <c r="H251" s="70" t="s">
        <v>0</v>
      </c>
    </row>
    <row r="252" spans="1:8">
      <c r="A252" s="70">
        <v>0</v>
      </c>
      <c r="B252" s="70">
        <v>3</v>
      </c>
      <c r="C252" s="70" t="s">
        <v>41</v>
      </c>
      <c r="D252" s="70">
        <v>29</v>
      </c>
      <c r="E252" s="70">
        <v>1</v>
      </c>
      <c r="F252" s="70">
        <v>1</v>
      </c>
      <c r="G252" s="129">
        <v>10.4625</v>
      </c>
      <c r="H252" s="70" t="s">
        <v>0</v>
      </c>
    </row>
    <row r="253" spans="1:8">
      <c r="A253" s="70">
        <v>0</v>
      </c>
      <c r="B253" s="70">
        <v>1</v>
      </c>
      <c r="C253" s="70" t="s">
        <v>42</v>
      </c>
      <c r="D253" s="70">
        <v>62</v>
      </c>
      <c r="E253" s="70">
        <v>0</v>
      </c>
      <c r="F253" s="70">
        <v>0</v>
      </c>
      <c r="G253" s="129">
        <v>26.55</v>
      </c>
      <c r="H253" s="70" t="s">
        <v>0</v>
      </c>
    </row>
    <row r="254" spans="1:8">
      <c r="A254" s="70">
        <v>0</v>
      </c>
      <c r="B254" s="70">
        <v>3</v>
      </c>
      <c r="C254" s="70" t="s">
        <v>42</v>
      </c>
      <c r="D254" s="70">
        <v>30</v>
      </c>
      <c r="E254" s="70">
        <v>1</v>
      </c>
      <c r="F254" s="70">
        <v>0</v>
      </c>
      <c r="G254" s="129">
        <v>16.100000000000001</v>
      </c>
      <c r="H254" s="70" t="s">
        <v>0</v>
      </c>
    </row>
    <row r="255" spans="1:8">
      <c r="A255" s="70">
        <v>0</v>
      </c>
      <c r="B255" s="70">
        <v>3</v>
      </c>
      <c r="C255" s="70" t="s">
        <v>41</v>
      </c>
      <c r="D255" s="70">
        <v>41</v>
      </c>
      <c r="E255" s="70">
        <v>0</v>
      </c>
      <c r="F255" s="70">
        <v>2</v>
      </c>
      <c r="G255" s="129">
        <v>20.212499999999999</v>
      </c>
      <c r="H255" s="70" t="s">
        <v>0</v>
      </c>
    </row>
    <row r="256" spans="1:8">
      <c r="A256" s="70">
        <v>1</v>
      </c>
      <c r="B256" s="70">
        <v>3</v>
      </c>
      <c r="C256" s="70" t="s">
        <v>41</v>
      </c>
      <c r="D256" s="70">
        <v>29</v>
      </c>
      <c r="E256" s="70">
        <v>0</v>
      </c>
      <c r="F256" s="70">
        <v>2</v>
      </c>
      <c r="G256" s="129">
        <v>15.245799999999999</v>
      </c>
      <c r="H256" s="70" t="s">
        <v>1</v>
      </c>
    </row>
    <row r="257" spans="1:8">
      <c r="A257" s="70">
        <v>1</v>
      </c>
      <c r="B257" s="70">
        <v>1</v>
      </c>
      <c r="C257" s="70" t="s">
        <v>41</v>
      </c>
      <c r="D257" s="70">
        <v>29.7</v>
      </c>
      <c r="E257" s="70">
        <v>0</v>
      </c>
      <c r="F257" s="70">
        <v>0</v>
      </c>
      <c r="G257" s="129">
        <v>79.2</v>
      </c>
      <c r="H257" s="70" t="s">
        <v>1</v>
      </c>
    </row>
    <row r="258" spans="1:8">
      <c r="A258" s="70">
        <v>1</v>
      </c>
      <c r="B258" s="70">
        <v>1</v>
      </c>
      <c r="C258" s="70" t="s">
        <v>41</v>
      </c>
      <c r="D258" s="70">
        <v>30</v>
      </c>
      <c r="E258" s="70">
        <v>0</v>
      </c>
      <c r="F258" s="70">
        <v>0</v>
      </c>
      <c r="G258" s="129">
        <v>86.5</v>
      </c>
      <c r="H258" s="70" t="s">
        <v>0</v>
      </c>
    </row>
    <row r="259" spans="1:8">
      <c r="A259" s="70">
        <v>1</v>
      </c>
      <c r="B259" s="70">
        <v>1</v>
      </c>
      <c r="C259" s="70" t="s">
        <v>41</v>
      </c>
      <c r="D259" s="70">
        <v>35</v>
      </c>
      <c r="E259" s="70">
        <v>0</v>
      </c>
      <c r="F259" s="70">
        <v>0</v>
      </c>
      <c r="G259" s="129">
        <v>512.32920000000001</v>
      </c>
      <c r="H259" s="70" t="s">
        <v>1</v>
      </c>
    </row>
    <row r="260" spans="1:8">
      <c r="A260" s="70">
        <v>1</v>
      </c>
      <c r="B260" s="70">
        <v>2</v>
      </c>
      <c r="C260" s="70" t="s">
        <v>41</v>
      </c>
      <c r="D260" s="70">
        <v>50</v>
      </c>
      <c r="E260" s="70">
        <v>0</v>
      </c>
      <c r="F260" s="70">
        <v>1</v>
      </c>
      <c r="G260" s="129">
        <v>26</v>
      </c>
      <c r="H260" s="70" t="s">
        <v>0</v>
      </c>
    </row>
    <row r="261" spans="1:8">
      <c r="A261" s="70">
        <v>0</v>
      </c>
      <c r="B261" s="70">
        <v>3</v>
      </c>
      <c r="C261" s="70" t="s">
        <v>42</v>
      </c>
      <c r="D261" s="70">
        <v>29.7</v>
      </c>
      <c r="E261" s="70">
        <v>0</v>
      </c>
      <c r="F261" s="70">
        <v>0</v>
      </c>
      <c r="G261" s="129">
        <v>7.75</v>
      </c>
      <c r="H261" s="70" t="s">
        <v>2</v>
      </c>
    </row>
    <row r="262" spans="1:8">
      <c r="A262" s="70">
        <v>1</v>
      </c>
      <c r="B262" s="70">
        <v>3</v>
      </c>
      <c r="C262" s="70" t="s">
        <v>42</v>
      </c>
      <c r="D262" s="70">
        <v>3</v>
      </c>
      <c r="E262" s="70">
        <v>4</v>
      </c>
      <c r="F262" s="70">
        <v>2</v>
      </c>
      <c r="G262" s="129">
        <v>31.387499999999999</v>
      </c>
      <c r="H262" s="70" t="s">
        <v>0</v>
      </c>
    </row>
    <row r="263" spans="1:8">
      <c r="A263" s="70">
        <v>0</v>
      </c>
      <c r="B263" s="70">
        <v>1</v>
      </c>
      <c r="C263" s="70" t="s">
        <v>42</v>
      </c>
      <c r="D263" s="70">
        <v>52</v>
      </c>
      <c r="E263" s="70">
        <v>1</v>
      </c>
      <c r="F263" s="70">
        <v>1</v>
      </c>
      <c r="G263" s="129">
        <v>79.650000000000006</v>
      </c>
      <c r="H263" s="70" t="s">
        <v>0</v>
      </c>
    </row>
    <row r="264" spans="1:8">
      <c r="A264" s="70">
        <v>0</v>
      </c>
      <c r="B264" s="70">
        <v>1</v>
      </c>
      <c r="C264" s="70" t="s">
        <v>42</v>
      </c>
      <c r="D264" s="70">
        <v>40</v>
      </c>
      <c r="E264" s="70">
        <v>0</v>
      </c>
      <c r="F264" s="70">
        <v>0</v>
      </c>
      <c r="G264" s="129">
        <v>0</v>
      </c>
      <c r="H264" s="70" t="s">
        <v>0</v>
      </c>
    </row>
    <row r="265" spans="1:8">
      <c r="A265" s="70">
        <v>0</v>
      </c>
      <c r="B265" s="70">
        <v>3</v>
      </c>
      <c r="C265" s="70" t="s">
        <v>41</v>
      </c>
      <c r="D265" s="70">
        <v>29.7</v>
      </c>
      <c r="E265" s="70">
        <v>0</v>
      </c>
      <c r="F265" s="70">
        <v>0</v>
      </c>
      <c r="G265" s="129">
        <v>7.75</v>
      </c>
      <c r="H265" s="70" t="s">
        <v>2</v>
      </c>
    </row>
    <row r="266" spans="1:8">
      <c r="A266" s="70">
        <v>0</v>
      </c>
      <c r="B266" s="70">
        <v>2</v>
      </c>
      <c r="C266" s="70" t="s">
        <v>42</v>
      </c>
      <c r="D266" s="70">
        <v>36</v>
      </c>
      <c r="E266" s="70">
        <v>0</v>
      </c>
      <c r="F266" s="70">
        <v>0</v>
      </c>
      <c r="G266" s="129">
        <v>10.5</v>
      </c>
      <c r="H266" s="70" t="s">
        <v>0</v>
      </c>
    </row>
    <row r="267" spans="1:8">
      <c r="A267" s="70">
        <v>0</v>
      </c>
      <c r="B267" s="70">
        <v>3</v>
      </c>
      <c r="C267" s="70" t="s">
        <v>42</v>
      </c>
      <c r="D267" s="70">
        <v>16</v>
      </c>
      <c r="E267" s="70">
        <v>4</v>
      </c>
      <c r="F267" s="70">
        <v>1</v>
      </c>
      <c r="G267" s="129">
        <v>39.6875</v>
      </c>
      <c r="H267" s="70" t="s">
        <v>0</v>
      </c>
    </row>
    <row r="268" spans="1:8">
      <c r="A268" s="70">
        <v>1</v>
      </c>
      <c r="B268" s="70">
        <v>3</v>
      </c>
      <c r="C268" s="70" t="s">
        <v>42</v>
      </c>
      <c r="D268" s="70">
        <v>25</v>
      </c>
      <c r="E268" s="70">
        <v>1</v>
      </c>
      <c r="F268" s="70">
        <v>0</v>
      </c>
      <c r="G268" s="129">
        <v>7.7750000000000004</v>
      </c>
      <c r="H268" s="70" t="s">
        <v>0</v>
      </c>
    </row>
    <row r="269" spans="1:8">
      <c r="A269" s="70">
        <v>1</v>
      </c>
      <c r="B269" s="70">
        <v>1</v>
      </c>
      <c r="C269" s="70" t="s">
        <v>41</v>
      </c>
      <c r="D269" s="70">
        <v>58</v>
      </c>
      <c r="E269" s="70">
        <v>0</v>
      </c>
      <c r="F269" s="70">
        <v>1</v>
      </c>
      <c r="G269" s="129">
        <v>153.46250000000001</v>
      </c>
      <c r="H269" s="70" t="s">
        <v>0</v>
      </c>
    </row>
    <row r="270" spans="1:8">
      <c r="A270" s="70">
        <v>1</v>
      </c>
      <c r="B270" s="70">
        <v>1</v>
      </c>
      <c r="C270" s="70" t="s">
        <v>41</v>
      </c>
      <c r="D270" s="70">
        <v>35</v>
      </c>
      <c r="E270" s="70">
        <v>0</v>
      </c>
      <c r="F270" s="70">
        <v>0</v>
      </c>
      <c r="G270" s="129">
        <v>135.63329999999999</v>
      </c>
      <c r="H270" s="70" t="s">
        <v>0</v>
      </c>
    </row>
    <row r="271" spans="1:8">
      <c r="A271" s="70">
        <v>0</v>
      </c>
      <c r="B271" s="70">
        <v>1</v>
      </c>
      <c r="C271" s="70" t="s">
        <v>42</v>
      </c>
      <c r="D271" s="70">
        <v>29.7</v>
      </c>
      <c r="E271" s="70">
        <v>0</v>
      </c>
      <c r="F271" s="70">
        <v>0</v>
      </c>
      <c r="G271" s="129">
        <v>31</v>
      </c>
      <c r="H271" s="70" t="s">
        <v>0</v>
      </c>
    </row>
    <row r="272" spans="1:8">
      <c r="A272" s="70">
        <v>1</v>
      </c>
      <c r="B272" s="70">
        <v>3</v>
      </c>
      <c r="C272" s="70" t="s">
        <v>42</v>
      </c>
      <c r="D272" s="70">
        <v>25</v>
      </c>
      <c r="E272" s="70">
        <v>0</v>
      </c>
      <c r="F272" s="70">
        <v>0</v>
      </c>
      <c r="G272" s="129">
        <v>0</v>
      </c>
      <c r="H272" s="70" t="s">
        <v>0</v>
      </c>
    </row>
    <row r="273" spans="1:8">
      <c r="A273" s="70">
        <v>1</v>
      </c>
      <c r="B273" s="70">
        <v>2</v>
      </c>
      <c r="C273" s="70" t="s">
        <v>41</v>
      </c>
      <c r="D273" s="70">
        <v>41</v>
      </c>
      <c r="E273" s="70">
        <v>0</v>
      </c>
      <c r="F273" s="70">
        <v>1</v>
      </c>
      <c r="G273" s="129">
        <v>19.5</v>
      </c>
      <c r="H273" s="70" t="s">
        <v>0</v>
      </c>
    </row>
    <row r="274" spans="1:8">
      <c r="A274" s="70">
        <v>0</v>
      </c>
      <c r="B274" s="70">
        <v>1</v>
      </c>
      <c r="C274" s="70" t="s">
        <v>42</v>
      </c>
      <c r="D274" s="70">
        <v>37</v>
      </c>
      <c r="E274" s="70">
        <v>0</v>
      </c>
      <c r="F274" s="70">
        <v>1</v>
      </c>
      <c r="G274" s="129">
        <v>29.7</v>
      </c>
      <c r="H274" s="70" t="s">
        <v>1</v>
      </c>
    </row>
    <row r="275" spans="1:8">
      <c r="A275" s="70">
        <v>1</v>
      </c>
      <c r="B275" s="70">
        <v>3</v>
      </c>
      <c r="C275" s="70" t="s">
        <v>41</v>
      </c>
      <c r="D275" s="70">
        <v>29.7</v>
      </c>
      <c r="E275" s="70">
        <v>0</v>
      </c>
      <c r="F275" s="70">
        <v>0</v>
      </c>
      <c r="G275" s="129">
        <v>7.75</v>
      </c>
      <c r="H275" s="70" t="s">
        <v>2</v>
      </c>
    </row>
    <row r="276" spans="1:8">
      <c r="A276" s="70">
        <v>1</v>
      </c>
      <c r="B276" s="70">
        <v>1</v>
      </c>
      <c r="C276" s="70" t="s">
        <v>41</v>
      </c>
      <c r="D276" s="70">
        <v>63</v>
      </c>
      <c r="E276" s="70">
        <v>1</v>
      </c>
      <c r="F276" s="70">
        <v>0</v>
      </c>
      <c r="G276" s="129">
        <v>77.958299999999994</v>
      </c>
      <c r="H276" s="70" t="s">
        <v>0</v>
      </c>
    </row>
    <row r="277" spans="1:8">
      <c r="A277" s="70">
        <v>0</v>
      </c>
      <c r="B277" s="70">
        <v>3</v>
      </c>
      <c r="C277" s="70" t="s">
        <v>41</v>
      </c>
      <c r="D277" s="70">
        <v>45</v>
      </c>
      <c r="E277" s="70">
        <v>0</v>
      </c>
      <c r="F277" s="70">
        <v>0</v>
      </c>
      <c r="G277" s="129">
        <v>7.75</v>
      </c>
      <c r="H277" s="70" t="s">
        <v>0</v>
      </c>
    </row>
    <row r="278" spans="1:8">
      <c r="A278" s="70">
        <v>0</v>
      </c>
      <c r="B278" s="70">
        <v>2</v>
      </c>
      <c r="C278" s="70" t="s">
        <v>42</v>
      </c>
      <c r="D278" s="70">
        <v>29.7</v>
      </c>
      <c r="E278" s="70">
        <v>0</v>
      </c>
      <c r="F278" s="70">
        <v>0</v>
      </c>
      <c r="G278" s="129">
        <v>0</v>
      </c>
      <c r="H278" s="70" t="s">
        <v>0</v>
      </c>
    </row>
    <row r="279" spans="1:8">
      <c r="A279" s="70">
        <v>0</v>
      </c>
      <c r="B279" s="70">
        <v>3</v>
      </c>
      <c r="C279" s="70" t="s">
        <v>42</v>
      </c>
      <c r="D279" s="70">
        <v>7</v>
      </c>
      <c r="E279" s="70">
        <v>4</v>
      </c>
      <c r="F279" s="70">
        <v>1</v>
      </c>
      <c r="G279" s="129">
        <v>29.125</v>
      </c>
      <c r="H279" s="70" t="s">
        <v>2</v>
      </c>
    </row>
    <row r="280" spans="1:8">
      <c r="A280" s="70">
        <v>1</v>
      </c>
      <c r="B280" s="70">
        <v>3</v>
      </c>
      <c r="C280" s="70" t="s">
        <v>41</v>
      </c>
      <c r="D280" s="70">
        <v>35</v>
      </c>
      <c r="E280" s="70">
        <v>1</v>
      </c>
      <c r="F280" s="70">
        <v>1</v>
      </c>
      <c r="G280" s="129">
        <v>20.25</v>
      </c>
      <c r="H280" s="70" t="s">
        <v>0</v>
      </c>
    </row>
    <row r="281" spans="1:8">
      <c r="A281" s="70">
        <v>0</v>
      </c>
      <c r="B281" s="70">
        <v>3</v>
      </c>
      <c r="C281" s="70" t="s">
        <v>42</v>
      </c>
      <c r="D281" s="70">
        <v>65</v>
      </c>
      <c r="E281" s="70">
        <v>0</v>
      </c>
      <c r="F281" s="70">
        <v>0</v>
      </c>
      <c r="G281" s="129">
        <v>7.75</v>
      </c>
      <c r="H281" s="70" t="s">
        <v>2</v>
      </c>
    </row>
    <row r="282" spans="1:8">
      <c r="A282" s="70">
        <v>0</v>
      </c>
      <c r="B282" s="70">
        <v>3</v>
      </c>
      <c r="C282" s="70" t="s">
        <v>42</v>
      </c>
      <c r="D282" s="70">
        <v>28</v>
      </c>
      <c r="E282" s="70">
        <v>0</v>
      </c>
      <c r="F282" s="70">
        <v>0</v>
      </c>
      <c r="G282" s="129">
        <v>7.8541999999999996</v>
      </c>
      <c r="H282" s="70" t="s">
        <v>0</v>
      </c>
    </row>
    <row r="283" spans="1:8">
      <c r="A283" s="70">
        <v>0</v>
      </c>
      <c r="B283" s="70">
        <v>3</v>
      </c>
      <c r="C283" s="70" t="s">
        <v>42</v>
      </c>
      <c r="D283" s="70">
        <v>16</v>
      </c>
      <c r="E283" s="70">
        <v>0</v>
      </c>
      <c r="F283" s="70">
        <v>0</v>
      </c>
      <c r="G283" s="129">
        <v>9.5</v>
      </c>
      <c r="H283" s="70" t="s">
        <v>0</v>
      </c>
    </row>
    <row r="284" spans="1:8">
      <c r="A284" s="70">
        <v>1</v>
      </c>
      <c r="B284" s="70">
        <v>3</v>
      </c>
      <c r="C284" s="70" t="s">
        <v>42</v>
      </c>
      <c r="D284" s="70">
        <v>19</v>
      </c>
      <c r="E284" s="70">
        <v>0</v>
      </c>
      <c r="F284" s="70">
        <v>0</v>
      </c>
      <c r="G284" s="129">
        <v>8.0500000000000007</v>
      </c>
      <c r="H284" s="70" t="s">
        <v>0</v>
      </c>
    </row>
    <row r="285" spans="1:8">
      <c r="A285" s="70">
        <v>0</v>
      </c>
      <c r="B285" s="70">
        <v>1</v>
      </c>
      <c r="C285" s="70" t="s">
        <v>42</v>
      </c>
      <c r="D285" s="70">
        <v>29.7</v>
      </c>
      <c r="E285" s="70">
        <v>0</v>
      </c>
      <c r="F285" s="70">
        <v>0</v>
      </c>
      <c r="G285" s="129">
        <v>26</v>
      </c>
      <c r="H285" s="70" t="s">
        <v>0</v>
      </c>
    </row>
    <row r="286" spans="1:8">
      <c r="A286" s="70">
        <v>0</v>
      </c>
      <c r="B286" s="70">
        <v>3</v>
      </c>
      <c r="C286" s="70" t="s">
        <v>42</v>
      </c>
      <c r="D286" s="70">
        <v>33</v>
      </c>
      <c r="E286" s="70">
        <v>0</v>
      </c>
      <c r="F286" s="70">
        <v>0</v>
      </c>
      <c r="G286" s="129">
        <v>8.6624999999999996</v>
      </c>
      <c r="H286" s="70" t="s">
        <v>1</v>
      </c>
    </row>
    <row r="287" spans="1:8">
      <c r="A287" s="70">
        <v>1</v>
      </c>
      <c r="B287" s="70">
        <v>3</v>
      </c>
      <c r="C287" s="70" t="s">
        <v>42</v>
      </c>
      <c r="D287" s="70">
        <v>30</v>
      </c>
      <c r="E287" s="70">
        <v>0</v>
      </c>
      <c r="F287" s="70">
        <v>0</v>
      </c>
      <c r="G287" s="129">
        <v>9.5</v>
      </c>
      <c r="H287" s="70" t="s">
        <v>0</v>
      </c>
    </row>
    <row r="288" spans="1:8">
      <c r="A288" s="70">
        <v>0</v>
      </c>
      <c r="B288" s="70">
        <v>3</v>
      </c>
      <c r="C288" s="70" t="s">
        <v>42</v>
      </c>
      <c r="D288" s="70">
        <v>22</v>
      </c>
      <c r="E288" s="70">
        <v>0</v>
      </c>
      <c r="F288" s="70">
        <v>0</v>
      </c>
      <c r="G288" s="129">
        <v>7.8958000000000004</v>
      </c>
      <c r="H288" s="70" t="s">
        <v>0</v>
      </c>
    </row>
    <row r="289" spans="1:8">
      <c r="A289" s="70">
        <v>1</v>
      </c>
      <c r="B289" s="70">
        <v>2</v>
      </c>
      <c r="C289" s="70" t="s">
        <v>42</v>
      </c>
      <c r="D289" s="70">
        <v>42</v>
      </c>
      <c r="E289" s="70">
        <v>0</v>
      </c>
      <c r="F289" s="70">
        <v>0</v>
      </c>
      <c r="G289" s="129">
        <v>13</v>
      </c>
      <c r="H289" s="70" t="s">
        <v>0</v>
      </c>
    </row>
    <row r="290" spans="1:8">
      <c r="A290" s="70">
        <v>1</v>
      </c>
      <c r="B290" s="70">
        <v>3</v>
      </c>
      <c r="C290" s="70" t="s">
        <v>41</v>
      </c>
      <c r="D290" s="70">
        <v>22</v>
      </c>
      <c r="E290" s="70">
        <v>0</v>
      </c>
      <c r="F290" s="70">
        <v>0</v>
      </c>
      <c r="G290" s="129">
        <v>7.75</v>
      </c>
      <c r="H290" s="70" t="s">
        <v>2</v>
      </c>
    </row>
    <row r="291" spans="1:8">
      <c r="A291" s="70">
        <v>1</v>
      </c>
      <c r="B291" s="70">
        <v>1</v>
      </c>
      <c r="C291" s="70" t="s">
        <v>41</v>
      </c>
      <c r="D291" s="70">
        <v>26</v>
      </c>
      <c r="E291" s="70">
        <v>0</v>
      </c>
      <c r="F291" s="70">
        <v>0</v>
      </c>
      <c r="G291" s="129">
        <v>78.849999999999994</v>
      </c>
      <c r="H291" s="70" t="s">
        <v>0</v>
      </c>
    </row>
    <row r="292" spans="1:8">
      <c r="A292" s="70">
        <v>1</v>
      </c>
      <c r="B292" s="70">
        <v>1</v>
      </c>
      <c r="C292" s="70" t="s">
        <v>41</v>
      </c>
      <c r="D292" s="70">
        <v>19</v>
      </c>
      <c r="E292" s="70">
        <v>1</v>
      </c>
      <c r="F292" s="70">
        <v>0</v>
      </c>
      <c r="G292" s="129">
        <v>91.0792</v>
      </c>
      <c r="H292" s="70" t="s">
        <v>1</v>
      </c>
    </row>
    <row r="293" spans="1:8">
      <c r="A293" s="70">
        <v>0</v>
      </c>
      <c r="B293" s="70">
        <v>2</v>
      </c>
      <c r="C293" s="70" t="s">
        <v>42</v>
      </c>
      <c r="D293" s="70">
        <v>36</v>
      </c>
      <c r="E293" s="70">
        <v>0</v>
      </c>
      <c r="F293" s="70">
        <v>0</v>
      </c>
      <c r="G293" s="129">
        <v>12.875</v>
      </c>
      <c r="H293" s="70" t="s">
        <v>1</v>
      </c>
    </row>
    <row r="294" spans="1:8">
      <c r="A294" s="70">
        <v>0</v>
      </c>
      <c r="B294" s="70">
        <v>3</v>
      </c>
      <c r="C294" s="70" t="s">
        <v>41</v>
      </c>
      <c r="D294" s="70">
        <v>24</v>
      </c>
      <c r="E294" s="70">
        <v>0</v>
      </c>
      <c r="F294" s="70">
        <v>0</v>
      </c>
      <c r="G294" s="129">
        <v>8.85</v>
      </c>
      <c r="H294" s="70" t="s">
        <v>0</v>
      </c>
    </row>
    <row r="295" spans="1:8">
      <c r="A295" s="70">
        <v>0</v>
      </c>
      <c r="B295" s="70">
        <v>3</v>
      </c>
      <c r="C295" s="70" t="s">
        <v>42</v>
      </c>
      <c r="D295" s="70">
        <v>24</v>
      </c>
      <c r="E295" s="70">
        <v>0</v>
      </c>
      <c r="F295" s="70">
        <v>0</v>
      </c>
      <c r="G295" s="129">
        <v>7.8958000000000004</v>
      </c>
      <c r="H295" s="70" t="s">
        <v>0</v>
      </c>
    </row>
    <row r="296" spans="1:8">
      <c r="A296" s="70">
        <v>0</v>
      </c>
      <c r="B296" s="70">
        <v>1</v>
      </c>
      <c r="C296" s="70" t="s">
        <v>42</v>
      </c>
      <c r="D296" s="70">
        <v>29.7</v>
      </c>
      <c r="E296" s="70">
        <v>0</v>
      </c>
      <c r="F296" s="70">
        <v>0</v>
      </c>
      <c r="G296" s="129">
        <v>27.720800000000001</v>
      </c>
      <c r="H296" s="70" t="s">
        <v>1</v>
      </c>
    </row>
    <row r="297" spans="1:8">
      <c r="A297" s="70">
        <v>0</v>
      </c>
      <c r="B297" s="70">
        <v>3</v>
      </c>
      <c r="C297" s="70" t="s">
        <v>42</v>
      </c>
      <c r="D297" s="70">
        <v>23.5</v>
      </c>
      <c r="E297" s="70">
        <v>0</v>
      </c>
      <c r="F297" s="70">
        <v>0</v>
      </c>
      <c r="G297" s="129">
        <v>7.2291999999999996</v>
      </c>
      <c r="H297" s="70" t="s">
        <v>1</v>
      </c>
    </row>
    <row r="298" spans="1:8">
      <c r="A298" s="70">
        <v>0</v>
      </c>
      <c r="B298" s="70">
        <v>1</v>
      </c>
      <c r="C298" s="70" t="s">
        <v>41</v>
      </c>
      <c r="D298" s="70">
        <v>2</v>
      </c>
      <c r="E298" s="70">
        <v>1</v>
      </c>
      <c r="F298" s="70">
        <v>2</v>
      </c>
      <c r="G298" s="129">
        <v>151.55000000000001</v>
      </c>
      <c r="H298" s="70" t="s">
        <v>0</v>
      </c>
    </row>
    <row r="299" spans="1:8">
      <c r="A299" s="70">
        <v>1</v>
      </c>
      <c r="B299" s="70">
        <v>1</v>
      </c>
      <c r="C299" s="70" t="s">
        <v>42</v>
      </c>
      <c r="D299" s="70">
        <v>29.7</v>
      </c>
      <c r="E299" s="70">
        <v>0</v>
      </c>
      <c r="F299" s="70">
        <v>0</v>
      </c>
      <c r="G299" s="129">
        <v>30.5</v>
      </c>
      <c r="H299" s="70" t="s">
        <v>0</v>
      </c>
    </row>
    <row r="300" spans="1:8">
      <c r="A300" s="70">
        <v>1</v>
      </c>
      <c r="B300" s="70">
        <v>1</v>
      </c>
      <c r="C300" s="70" t="s">
        <v>41</v>
      </c>
      <c r="D300" s="70">
        <v>50</v>
      </c>
      <c r="E300" s="70">
        <v>0</v>
      </c>
      <c r="F300" s="70">
        <v>1</v>
      </c>
      <c r="G300" s="129">
        <v>247.52080000000001</v>
      </c>
      <c r="H300" s="70" t="s">
        <v>1</v>
      </c>
    </row>
    <row r="301" spans="1:8">
      <c r="A301" s="70">
        <v>1</v>
      </c>
      <c r="B301" s="70">
        <v>3</v>
      </c>
      <c r="C301" s="70" t="s">
        <v>41</v>
      </c>
      <c r="D301" s="70">
        <v>29.7</v>
      </c>
      <c r="E301" s="70">
        <v>0</v>
      </c>
      <c r="F301" s="70">
        <v>0</v>
      </c>
      <c r="G301" s="129">
        <v>7.75</v>
      </c>
      <c r="H301" s="70" t="s">
        <v>2</v>
      </c>
    </row>
    <row r="302" spans="1:8">
      <c r="A302" s="70">
        <v>1</v>
      </c>
      <c r="B302" s="70">
        <v>3</v>
      </c>
      <c r="C302" s="70" t="s">
        <v>42</v>
      </c>
      <c r="D302" s="70">
        <v>29.7</v>
      </c>
      <c r="E302" s="70">
        <v>2</v>
      </c>
      <c r="F302" s="70">
        <v>0</v>
      </c>
      <c r="G302" s="129">
        <v>23.25</v>
      </c>
      <c r="H302" s="70" t="s">
        <v>2</v>
      </c>
    </row>
    <row r="303" spans="1:8">
      <c r="A303" s="70">
        <v>0</v>
      </c>
      <c r="B303" s="70">
        <v>3</v>
      </c>
      <c r="C303" s="70" t="s">
        <v>42</v>
      </c>
      <c r="D303" s="70">
        <v>19</v>
      </c>
      <c r="E303" s="70">
        <v>0</v>
      </c>
      <c r="F303" s="70">
        <v>0</v>
      </c>
      <c r="G303" s="129">
        <v>0</v>
      </c>
      <c r="H303" s="70" t="s">
        <v>0</v>
      </c>
    </row>
    <row r="304" spans="1:8">
      <c r="A304" s="70">
        <v>1</v>
      </c>
      <c r="B304" s="70">
        <v>2</v>
      </c>
      <c r="C304" s="70" t="s">
        <v>41</v>
      </c>
      <c r="D304" s="70">
        <v>29.7</v>
      </c>
      <c r="E304" s="70">
        <v>0</v>
      </c>
      <c r="F304" s="70">
        <v>0</v>
      </c>
      <c r="G304" s="129">
        <v>12.35</v>
      </c>
      <c r="H304" s="70" t="s">
        <v>2</v>
      </c>
    </row>
    <row r="305" spans="1:8">
      <c r="A305" s="70">
        <v>0</v>
      </c>
      <c r="B305" s="70">
        <v>3</v>
      </c>
      <c r="C305" s="70" t="s">
        <v>42</v>
      </c>
      <c r="D305" s="70">
        <v>29.7</v>
      </c>
      <c r="E305" s="70">
        <v>0</v>
      </c>
      <c r="F305" s="70">
        <v>0</v>
      </c>
      <c r="G305" s="129">
        <v>8.0500000000000007</v>
      </c>
      <c r="H305" s="70" t="s">
        <v>0</v>
      </c>
    </row>
    <row r="306" spans="1:8">
      <c r="A306" s="70">
        <v>1</v>
      </c>
      <c r="B306" s="70">
        <v>1</v>
      </c>
      <c r="C306" s="70" t="s">
        <v>42</v>
      </c>
      <c r="D306" s="70">
        <v>0.92</v>
      </c>
      <c r="E306" s="70">
        <v>1</v>
      </c>
      <c r="F306" s="70">
        <v>2</v>
      </c>
      <c r="G306" s="129">
        <v>151.55000000000001</v>
      </c>
      <c r="H306" s="70" t="s">
        <v>0</v>
      </c>
    </row>
    <row r="307" spans="1:8">
      <c r="A307" s="70">
        <v>1</v>
      </c>
      <c r="B307" s="70">
        <v>1</v>
      </c>
      <c r="C307" s="70" t="s">
        <v>41</v>
      </c>
      <c r="D307" s="70">
        <v>29.7</v>
      </c>
      <c r="E307" s="70">
        <v>0</v>
      </c>
      <c r="F307" s="70">
        <v>0</v>
      </c>
      <c r="G307" s="129">
        <v>110.88330000000001</v>
      </c>
      <c r="H307" s="70" t="s">
        <v>1</v>
      </c>
    </row>
    <row r="308" spans="1:8">
      <c r="A308" s="70">
        <v>1</v>
      </c>
      <c r="B308" s="70">
        <v>1</v>
      </c>
      <c r="C308" s="70" t="s">
        <v>41</v>
      </c>
      <c r="D308" s="70">
        <v>17</v>
      </c>
      <c r="E308" s="70">
        <v>1</v>
      </c>
      <c r="F308" s="70">
        <v>0</v>
      </c>
      <c r="G308" s="129">
        <v>108.9</v>
      </c>
      <c r="H308" s="70" t="s">
        <v>1</v>
      </c>
    </row>
    <row r="309" spans="1:8">
      <c r="A309" s="70">
        <v>0</v>
      </c>
      <c r="B309" s="70">
        <v>2</v>
      </c>
      <c r="C309" s="70" t="s">
        <v>42</v>
      </c>
      <c r="D309" s="70">
        <v>30</v>
      </c>
      <c r="E309" s="70">
        <v>1</v>
      </c>
      <c r="F309" s="70">
        <v>0</v>
      </c>
      <c r="G309" s="129">
        <v>24</v>
      </c>
      <c r="H309" s="70" t="s">
        <v>1</v>
      </c>
    </row>
    <row r="310" spans="1:8">
      <c r="A310" s="70">
        <v>1</v>
      </c>
      <c r="B310" s="70">
        <v>1</v>
      </c>
      <c r="C310" s="70" t="s">
        <v>41</v>
      </c>
      <c r="D310" s="70">
        <v>30</v>
      </c>
      <c r="E310" s="70">
        <v>0</v>
      </c>
      <c r="F310" s="70">
        <v>0</v>
      </c>
      <c r="G310" s="129">
        <v>56.929200000000002</v>
      </c>
      <c r="H310" s="70" t="s">
        <v>1</v>
      </c>
    </row>
    <row r="311" spans="1:8">
      <c r="A311" s="70">
        <v>1</v>
      </c>
      <c r="B311" s="70">
        <v>1</v>
      </c>
      <c r="C311" s="70" t="s">
        <v>41</v>
      </c>
      <c r="D311" s="70">
        <v>24</v>
      </c>
      <c r="E311" s="70">
        <v>0</v>
      </c>
      <c r="F311" s="70">
        <v>0</v>
      </c>
      <c r="G311" s="129">
        <v>83.158299999999997</v>
      </c>
      <c r="H311" s="70" t="s">
        <v>1</v>
      </c>
    </row>
    <row r="312" spans="1:8">
      <c r="A312" s="70">
        <v>1</v>
      </c>
      <c r="B312" s="70">
        <v>1</v>
      </c>
      <c r="C312" s="70" t="s">
        <v>41</v>
      </c>
      <c r="D312" s="70">
        <v>18</v>
      </c>
      <c r="E312" s="70">
        <v>2</v>
      </c>
      <c r="F312" s="70">
        <v>2</v>
      </c>
      <c r="G312" s="129">
        <v>262.375</v>
      </c>
      <c r="H312" s="70" t="s">
        <v>1</v>
      </c>
    </row>
    <row r="313" spans="1:8">
      <c r="A313" s="70">
        <v>0</v>
      </c>
      <c r="B313" s="70">
        <v>2</v>
      </c>
      <c r="C313" s="70" t="s">
        <v>41</v>
      </c>
      <c r="D313" s="70">
        <v>26</v>
      </c>
      <c r="E313" s="70">
        <v>1</v>
      </c>
      <c r="F313" s="70">
        <v>1</v>
      </c>
      <c r="G313" s="129">
        <v>26</v>
      </c>
      <c r="H313" s="70" t="s">
        <v>0</v>
      </c>
    </row>
    <row r="314" spans="1:8">
      <c r="A314" s="70">
        <v>0</v>
      </c>
      <c r="B314" s="70">
        <v>3</v>
      </c>
      <c r="C314" s="70" t="s">
        <v>42</v>
      </c>
      <c r="D314" s="70">
        <v>28</v>
      </c>
      <c r="E314" s="70">
        <v>0</v>
      </c>
      <c r="F314" s="70">
        <v>0</v>
      </c>
      <c r="G314" s="129">
        <v>7.8958000000000004</v>
      </c>
      <c r="H314" s="70" t="s">
        <v>0</v>
      </c>
    </row>
    <row r="315" spans="1:8">
      <c r="A315" s="70">
        <v>0</v>
      </c>
      <c r="B315" s="70">
        <v>2</v>
      </c>
      <c r="C315" s="70" t="s">
        <v>42</v>
      </c>
      <c r="D315" s="70">
        <v>43</v>
      </c>
      <c r="E315" s="70">
        <v>1</v>
      </c>
      <c r="F315" s="70">
        <v>1</v>
      </c>
      <c r="G315" s="129">
        <v>26.25</v>
      </c>
      <c r="H315" s="70" t="s">
        <v>0</v>
      </c>
    </row>
    <row r="316" spans="1:8">
      <c r="A316" s="70">
        <v>1</v>
      </c>
      <c r="B316" s="70">
        <v>3</v>
      </c>
      <c r="C316" s="70" t="s">
        <v>41</v>
      </c>
      <c r="D316" s="70">
        <v>26</v>
      </c>
      <c r="E316" s="70">
        <v>0</v>
      </c>
      <c r="F316" s="70">
        <v>0</v>
      </c>
      <c r="G316" s="129">
        <v>7.8541999999999996</v>
      </c>
      <c r="H316" s="70" t="s">
        <v>0</v>
      </c>
    </row>
    <row r="317" spans="1:8">
      <c r="A317" s="70">
        <v>1</v>
      </c>
      <c r="B317" s="70">
        <v>2</v>
      </c>
      <c r="C317" s="70" t="s">
        <v>41</v>
      </c>
      <c r="D317" s="70">
        <v>24</v>
      </c>
      <c r="E317" s="70">
        <v>1</v>
      </c>
      <c r="F317" s="70">
        <v>0</v>
      </c>
      <c r="G317" s="129">
        <v>26</v>
      </c>
      <c r="H317" s="70" t="s">
        <v>0</v>
      </c>
    </row>
    <row r="318" spans="1:8">
      <c r="A318" s="70">
        <v>0</v>
      </c>
      <c r="B318" s="70">
        <v>2</v>
      </c>
      <c r="C318" s="70" t="s">
        <v>42</v>
      </c>
      <c r="D318" s="70">
        <v>54</v>
      </c>
      <c r="E318" s="70">
        <v>0</v>
      </c>
      <c r="F318" s="70">
        <v>0</v>
      </c>
      <c r="G318" s="129">
        <v>14</v>
      </c>
      <c r="H318" s="70" t="s">
        <v>0</v>
      </c>
    </row>
    <row r="319" spans="1:8">
      <c r="A319" s="70">
        <v>1</v>
      </c>
      <c r="B319" s="70">
        <v>1</v>
      </c>
      <c r="C319" s="70" t="s">
        <v>41</v>
      </c>
      <c r="D319" s="70">
        <v>31</v>
      </c>
      <c r="E319" s="70">
        <v>0</v>
      </c>
      <c r="F319" s="70">
        <v>2</v>
      </c>
      <c r="G319" s="129">
        <v>164.86670000000001</v>
      </c>
      <c r="H319" s="70" t="s">
        <v>0</v>
      </c>
    </row>
    <row r="320" spans="1:8">
      <c r="A320" s="70">
        <v>1</v>
      </c>
      <c r="B320" s="70">
        <v>1</v>
      </c>
      <c r="C320" s="70" t="s">
        <v>41</v>
      </c>
      <c r="D320" s="70">
        <v>40</v>
      </c>
      <c r="E320" s="70">
        <v>1</v>
      </c>
      <c r="F320" s="70">
        <v>1</v>
      </c>
      <c r="G320" s="129">
        <v>134.5</v>
      </c>
      <c r="H320" s="70" t="s">
        <v>1</v>
      </c>
    </row>
    <row r="321" spans="1:8">
      <c r="A321" s="70">
        <v>0</v>
      </c>
      <c r="B321" s="70">
        <v>3</v>
      </c>
      <c r="C321" s="70" t="s">
        <v>42</v>
      </c>
      <c r="D321" s="70">
        <v>22</v>
      </c>
      <c r="E321" s="70">
        <v>0</v>
      </c>
      <c r="F321" s="70">
        <v>0</v>
      </c>
      <c r="G321" s="129">
        <v>7.25</v>
      </c>
      <c r="H321" s="70" t="s">
        <v>0</v>
      </c>
    </row>
    <row r="322" spans="1:8">
      <c r="A322" s="70">
        <v>0</v>
      </c>
      <c r="B322" s="70">
        <v>3</v>
      </c>
      <c r="C322" s="70" t="s">
        <v>42</v>
      </c>
      <c r="D322" s="70">
        <v>27</v>
      </c>
      <c r="E322" s="70">
        <v>0</v>
      </c>
      <c r="F322" s="70">
        <v>0</v>
      </c>
      <c r="G322" s="129">
        <v>7.8958000000000004</v>
      </c>
      <c r="H322" s="70" t="s">
        <v>0</v>
      </c>
    </row>
    <row r="323" spans="1:8">
      <c r="A323" s="70">
        <v>1</v>
      </c>
      <c r="B323" s="70">
        <v>2</v>
      </c>
      <c r="C323" s="70" t="s">
        <v>41</v>
      </c>
      <c r="D323" s="70">
        <v>30</v>
      </c>
      <c r="E323" s="70">
        <v>0</v>
      </c>
      <c r="F323" s="70">
        <v>0</v>
      </c>
      <c r="G323" s="129">
        <v>12.35</v>
      </c>
      <c r="H323" s="70" t="s">
        <v>2</v>
      </c>
    </row>
    <row r="324" spans="1:8">
      <c r="A324" s="70">
        <v>1</v>
      </c>
      <c r="B324" s="70">
        <v>2</v>
      </c>
      <c r="C324" s="70" t="s">
        <v>41</v>
      </c>
      <c r="D324" s="70">
        <v>22</v>
      </c>
      <c r="E324" s="70">
        <v>1</v>
      </c>
      <c r="F324" s="70">
        <v>1</v>
      </c>
      <c r="G324" s="129">
        <v>29</v>
      </c>
      <c r="H324" s="70" t="s">
        <v>0</v>
      </c>
    </row>
    <row r="325" spans="1:8">
      <c r="A325" s="70">
        <v>0</v>
      </c>
      <c r="B325" s="70">
        <v>3</v>
      </c>
      <c r="C325" s="70" t="s">
        <v>42</v>
      </c>
      <c r="D325" s="70">
        <v>29.7</v>
      </c>
      <c r="E325" s="70">
        <v>8</v>
      </c>
      <c r="F325" s="70">
        <v>2</v>
      </c>
      <c r="G325" s="129">
        <v>69.55</v>
      </c>
      <c r="H325" s="70" t="s">
        <v>0</v>
      </c>
    </row>
    <row r="326" spans="1:8">
      <c r="A326" s="70">
        <v>1</v>
      </c>
      <c r="B326" s="70">
        <v>1</v>
      </c>
      <c r="C326" s="70" t="s">
        <v>41</v>
      </c>
      <c r="D326" s="70">
        <v>36</v>
      </c>
      <c r="E326" s="70">
        <v>0</v>
      </c>
      <c r="F326" s="70">
        <v>0</v>
      </c>
      <c r="G326" s="129">
        <v>135.63329999999999</v>
      </c>
      <c r="H326" s="70" t="s">
        <v>1</v>
      </c>
    </row>
    <row r="327" spans="1:8">
      <c r="A327" s="70">
        <v>0</v>
      </c>
      <c r="B327" s="70">
        <v>3</v>
      </c>
      <c r="C327" s="70" t="s">
        <v>42</v>
      </c>
      <c r="D327" s="70">
        <v>61</v>
      </c>
      <c r="E327" s="70">
        <v>0</v>
      </c>
      <c r="F327" s="70">
        <v>0</v>
      </c>
      <c r="G327" s="129">
        <v>6.2374999999999998</v>
      </c>
      <c r="H327" s="70" t="s">
        <v>0</v>
      </c>
    </row>
    <row r="328" spans="1:8">
      <c r="A328" s="70">
        <v>1</v>
      </c>
      <c r="B328" s="70">
        <v>2</v>
      </c>
      <c r="C328" s="70" t="s">
        <v>41</v>
      </c>
      <c r="D328" s="70">
        <v>36</v>
      </c>
      <c r="E328" s="70">
        <v>0</v>
      </c>
      <c r="F328" s="70">
        <v>0</v>
      </c>
      <c r="G328" s="129">
        <v>13</v>
      </c>
      <c r="H328" s="70" t="s">
        <v>0</v>
      </c>
    </row>
    <row r="329" spans="1:8">
      <c r="A329" s="70">
        <v>1</v>
      </c>
      <c r="B329" s="70">
        <v>3</v>
      </c>
      <c r="C329" s="70" t="s">
        <v>41</v>
      </c>
      <c r="D329" s="70">
        <v>31</v>
      </c>
      <c r="E329" s="70">
        <v>1</v>
      </c>
      <c r="F329" s="70">
        <v>1</v>
      </c>
      <c r="G329" s="129">
        <v>20.524999999999999</v>
      </c>
      <c r="H329" s="70" t="s">
        <v>0</v>
      </c>
    </row>
    <row r="330" spans="1:8">
      <c r="A330" s="70">
        <v>1</v>
      </c>
      <c r="B330" s="70">
        <v>1</v>
      </c>
      <c r="C330" s="70" t="s">
        <v>41</v>
      </c>
      <c r="D330" s="70">
        <v>16</v>
      </c>
      <c r="E330" s="70">
        <v>0</v>
      </c>
      <c r="F330" s="70">
        <v>1</v>
      </c>
      <c r="G330" s="129">
        <v>57.979199999999999</v>
      </c>
      <c r="H330" s="70" t="s">
        <v>1</v>
      </c>
    </row>
    <row r="331" spans="1:8">
      <c r="A331" s="70">
        <v>1</v>
      </c>
      <c r="B331" s="70">
        <v>3</v>
      </c>
      <c r="C331" s="70" t="s">
        <v>41</v>
      </c>
      <c r="D331" s="70">
        <v>29.7</v>
      </c>
      <c r="E331" s="70">
        <v>2</v>
      </c>
      <c r="F331" s="70">
        <v>0</v>
      </c>
      <c r="G331" s="129">
        <v>23.25</v>
      </c>
      <c r="H331" s="70" t="s">
        <v>2</v>
      </c>
    </row>
    <row r="332" spans="1:8">
      <c r="A332" s="70">
        <v>0</v>
      </c>
      <c r="B332" s="70">
        <v>1</v>
      </c>
      <c r="C332" s="70" t="s">
        <v>42</v>
      </c>
      <c r="D332" s="70">
        <v>45.5</v>
      </c>
      <c r="E332" s="70">
        <v>0</v>
      </c>
      <c r="F332" s="70">
        <v>0</v>
      </c>
      <c r="G332" s="129">
        <v>28.5</v>
      </c>
      <c r="H332" s="70" t="s">
        <v>0</v>
      </c>
    </row>
    <row r="333" spans="1:8">
      <c r="A333" s="70">
        <v>0</v>
      </c>
      <c r="B333" s="70">
        <v>1</v>
      </c>
      <c r="C333" s="70" t="s">
        <v>42</v>
      </c>
      <c r="D333" s="70">
        <v>38</v>
      </c>
      <c r="E333" s="70">
        <v>0</v>
      </c>
      <c r="F333" s="70">
        <v>1</v>
      </c>
      <c r="G333" s="129">
        <v>153.46250000000001</v>
      </c>
      <c r="H333" s="70" t="s">
        <v>0</v>
      </c>
    </row>
    <row r="334" spans="1:8">
      <c r="A334" s="70">
        <v>0</v>
      </c>
      <c r="B334" s="70">
        <v>3</v>
      </c>
      <c r="C334" s="70" t="s">
        <v>42</v>
      </c>
      <c r="D334" s="70">
        <v>16</v>
      </c>
      <c r="E334" s="70">
        <v>2</v>
      </c>
      <c r="F334" s="70">
        <v>0</v>
      </c>
      <c r="G334" s="129">
        <v>18</v>
      </c>
      <c r="H334" s="70" t="s">
        <v>0</v>
      </c>
    </row>
    <row r="335" spans="1:8">
      <c r="A335" s="70">
        <v>1</v>
      </c>
      <c r="B335" s="70">
        <v>1</v>
      </c>
      <c r="C335" s="70" t="s">
        <v>41</v>
      </c>
      <c r="D335" s="70">
        <v>29.7</v>
      </c>
      <c r="E335" s="70">
        <v>1</v>
      </c>
      <c r="F335" s="70">
        <v>0</v>
      </c>
      <c r="G335" s="129">
        <v>133.65</v>
      </c>
      <c r="H335" s="70" t="s">
        <v>0</v>
      </c>
    </row>
    <row r="336" spans="1:8">
      <c r="A336" s="70">
        <v>0</v>
      </c>
      <c r="B336" s="70">
        <v>3</v>
      </c>
      <c r="C336" s="70" t="s">
        <v>42</v>
      </c>
      <c r="D336" s="70">
        <v>29.7</v>
      </c>
      <c r="E336" s="70">
        <v>0</v>
      </c>
      <c r="F336" s="70">
        <v>0</v>
      </c>
      <c r="G336" s="129">
        <v>7.8958000000000004</v>
      </c>
      <c r="H336" s="70" t="s">
        <v>0</v>
      </c>
    </row>
    <row r="337" spans="1:8">
      <c r="A337" s="70">
        <v>0</v>
      </c>
      <c r="B337" s="70">
        <v>1</v>
      </c>
      <c r="C337" s="70" t="s">
        <v>42</v>
      </c>
      <c r="D337" s="70">
        <v>29</v>
      </c>
      <c r="E337" s="70">
        <v>1</v>
      </c>
      <c r="F337" s="70">
        <v>0</v>
      </c>
      <c r="G337" s="129">
        <v>66.599999999999994</v>
      </c>
      <c r="H337" s="70" t="s">
        <v>0</v>
      </c>
    </row>
    <row r="338" spans="1:8">
      <c r="A338" s="70">
        <v>1</v>
      </c>
      <c r="B338" s="70">
        <v>1</v>
      </c>
      <c r="C338" s="70" t="s">
        <v>41</v>
      </c>
      <c r="D338" s="70">
        <v>41</v>
      </c>
      <c r="E338" s="70">
        <v>0</v>
      </c>
      <c r="F338" s="70">
        <v>0</v>
      </c>
      <c r="G338" s="129">
        <v>134.5</v>
      </c>
      <c r="H338" s="70" t="s">
        <v>1</v>
      </c>
    </row>
    <row r="339" spans="1:8">
      <c r="A339" s="70">
        <v>1</v>
      </c>
      <c r="B339" s="70">
        <v>3</v>
      </c>
      <c r="C339" s="70" t="s">
        <v>42</v>
      </c>
      <c r="D339" s="70">
        <v>45</v>
      </c>
      <c r="E339" s="70">
        <v>0</v>
      </c>
      <c r="F339" s="70">
        <v>0</v>
      </c>
      <c r="G339" s="129">
        <v>8.0500000000000007</v>
      </c>
      <c r="H339" s="70" t="s">
        <v>0</v>
      </c>
    </row>
    <row r="340" spans="1:8">
      <c r="A340" s="70">
        <v>0</v>
      </c>
      <c r="B340" s="70">
        <v>1</v>
      </c>
      <c r="C340" s="70" t="s">
        <v>42</v>
      </c>
      <c r="D340" s="70">
        <v>45</v>
      </c>
      <c r="E340" s="70">
        <v>0</v>
      </c>
      <c r="F340" s="70">
        <v>0</v>
      </c>
      <c r="G340" s="129">
        <v>35.5</v>
      </c>
      <c r="H340" s="70" t="s">
        <v>0</v>
      </c>
    </row>
    <row r="341" spans="1:8">
      <c r="A341" s="70">
        <v>1</v>
      </c>
      <c r="B341" s="70">
        <v>2</v>
      </c>
      <c r="C341" s="70" t="s">
        <v>42</v>
      </c>
      <c r="D341" s="70">
        <v>2</v>
      </c>
      <c r="E341" s="70">
        <v>1</v>
      </c>
      <c r="F341" s="70">
        <v>1</v>
      </c>
      <c r="G341" s="129">
        <v>26</v>
      </c>
      <c r="H341" s="70" t="s">
        <v>0</v>
      </c>
    </row>
    <row r="342" spans="1:8">
      <c r="A342" s="70">
        <v>1</v>
      </c>
      <c r="B342" s="70">
        <v>1</v>
      </c>
      <c r="C342" s="70" t="s">
        <v>41</v>
      </c>
      <c r="D342" s="70">
        <v>24</v>
      </c>
      <c r="E342" s="70">
        <v>3</v>
      </c>
      <c r="F342" s="70">
        <v>2</v>
      </c>
      <c r="G342" s="129">
        <v>263</v>
      </c>
      <c r="H342" s="70" t="s">
        <v>0</v>
      </c>
    </row>
    <row r="343" spans="1:8">
      <c r="A343" s="70">
        <v>0</v>
      </c>
      <c r="B343" s="70">
        <v>2</v>
      </c>
      <c r="C343" s="70" t="s">
        <v>42</v>
      </c>
      <c r="D343" s="70">
        <v>28</v>
      </c>
      <c r="E343" s="70">
        <v>0</v>
      </c>
      <c r="F343" s="70">
        <v>0</v>
      </c>
      <c r="G343" s="129">
        <v>13</v>
      </c>
      <c r="H343" s="70" t="s">
        <v>0</v>
      </c>
    </row>
    <row r="344" spans="1:8">
      <c r="A344" s="70">
        <v>0</v>
      </c>
      <c r="B344" s="70">
        <v>2</v>
      </c>
      <c r="C344" s="70" t="s">
        <v>42</v>
      </c>
      <c r="D344" s="70">
        <v>25</v>
      </c>
      <c r="E344" s="70">
        <v>0</v>
      </c>
      <c r="F344" s="70">
        <v>0</v>
      </c>
      <c r="G344" s="129">
        <v>13</v>
      </c>
      <c r="H344" s="70" t="s">
        <v>0</v>
      </c>
    </row>
    <row r="345" spans="1:8">
      <c r="A345" s="70">
        <v>0</v>
      </c>
      <c r="B345" s="70">
        <v>2</v>
      </c>
      <c r="C345" s="70" t="s">
        <v>42</v>
      </c>
      <c r="D345" s="70">
        <v>36</v>
      </c>
      <c r="E345" s="70">
        <v>0</v>
      </c>
      <c r="F345" s="70">
        <v>0</v>
      </c>
      <c r="G345" s="129">
        <v>13</v>
      </c>
      <c r="H345" s="70" t="s">
        <v>0</v>
      </c>
    </row>
    <row r="346" spans="1:8">
      <c r="A346" s="70">
        <v>1</v>
      </c>
      <c r="B346" s="70">
        <v>2</v>
      </c>
      <c r="C346" s="70" t="s">
        <v>41</v>
      </c>
      <c r="D346" s="70">
        <v>24</v>
      </c>
      <c r="E346" s="70">
        <v>0</v>
      </c>
      <c r="F346" s="70">
        <v>0</v>
      </c>
      <c r="G346" s="129">
        <v>13</v>
      </c>
      <c r="H346" s="70" t="s">
        <v>0</v>
      </c>
    </row>
    <row r="347" spans="1:8">
      <c r="A347" s="70">
        <v>1</v>
      </c>
      <c r="B347" s="70">
        <v>2</v>
      </c>
      <c r="C347" s="70" t="s">
        <v>41</v>
      </c>
      <c r="D347" s="70">
        <v>40</v>
      </c>
      <c r="E347" s="70">
        <v>0</v>
      </c>
      <c r="F347" s="70">
        <v>0</v>
      </c>
      <c r="G347" s="129">
        <v>13</v>
      </c>
      <c r="H347" s="70" t="s">
        <v>0</v>
      </c>
    </row>
    <row r="348" spans="1:8">
      <c r="A348" s="70">
        <v>1</v>
      </c>
      <c r="B348" s="70">
        <v>3</v>
      </c>
      <c r="C348" s="70" t="s">
        <v>41</v>
      </c>
      <c r="D348" s="70">
        <v>29.7</v>
      </c>
      <c r="E348" s="70">
        <v>1</v>
      </c>
      <c r="F348" s="70">
        <v>0</v>
      </c>
      <c r="G348" s="129">
        <v>16.100000000000001</v>
      </c>
      <c r="H348" s="70" t="s">
        <v>0</v>
      </c>
    </row>
    <row r="349" spans="1:8">
      <c r="A349" s="70">
        <v>1</v>
      </c>
      <c r="B349" s="70">
        <v>3</v>
      </c>
      <c r="C349" s="70" t="s">
        <v>42</v>
      </c>
      <c r="D349" s="70">
        <v>3</v>
      </c>
      <c r="E349" s="70">
        <v>1</v>
      </c>
      <c r="F349" s="70">
        <v>1</v>
      </c>
      <c r="G349" s="129">
        <v>15.9</v>
      </c>
      <c r="H349" s="70" t="s">
        <v>0</v>
      </c>
    </row>
    <row r="350" spans="1:8">
      <c r="A350" s="70">
        <v>0</v>
      </c>
      <c r="B350" s="70">
        <v>3</v>
      </c>
      <c r="C350" s="70" t="s">
        <v>42</v>
      </c>
      <c r="D350" s="70">
        <v>42</v>
      </c>
      <c r="E350" s="70">
        <v>0</v>
      </c>
      <c r="F350" s="70">
        <v>0</v>
      </c>
      <c r="G350" s="129">
        <v>8.6624999999999996</v>
      </c>
      <c r="H350" s="70" t="s">
        <v>0</v>
      </c>
    </row>
    <row r="351" spans="1:8">
      <c r="A351" s="70">
        <v>0</v>
      </c>
      <c r="B351" s="70">
        <v>3</v>
      </c>
      <c r="C351" s="70" t="s">
        <v>42</v>
      </c>
      <c r="D351" s="70">
        <v>23</v>
      </c>
      <c r="E351" s="70">
        <v>0</v>
      </c>
      <c r="F351" s="70">
        <v>0</v>
      </c>
      <c r="G351" s="129">
        <v>9.2249999999999996</v>
      </c>
      <c r="H351" s="70" t="s">
        <v>0</v>
      </c>
    </row>
    <row r="352" spans="1:8">
      <c r="A352" s="70">
        <v>0</v>
      </c>
      <c r="B352" s="70">
        <v>1</v>
      </c>
      <c r="C352" s="70" t="s">
        <v>42</v>
      </c>
      <c r="D352" s="70">
        <v>29.7</v>
      </c>
      <c r="E352" s="70">
        <v>0</v>
      </c>
      <c r="F352" s="70">
        <v>0</v>
      </c>
      <c r="G352" s="129">
        <v>35</v>
      </c>
      <c r="H352" s="70" t="s">
        <v>0</v>
      </c>
    </row>
    <row r="353" spans="1:8">
      <c r="A353" s="70">
        <v>0</v>
      </c>
      <c r="B353" s="70">
        <v>3</v>
      </c>
      <c r="C353" s="70" t="s">
        <v>42</v>
      </c>
      <c r="D353" s="70">
        <v>15</v>
      </c>
      <c r="E353" s="70">
        <v>1</v>
      </c>
      <c r="F353" s="70">
        <v>1</v>
      </c>
      <c r="G353" s="129">
        <v>7.2291999999999996</v>
      </c>
      <c r="H353" s="70" t="s">
        <v>1</v>
      </c>
    </row>
    <row r="354" spans="1:8">
      <c r="A354" s="70">
        <v>0</v>
      </c>
      <c r="B354" s="70">
        <v>3</v>
      </c>
      <c r="C354" s="70" t="s">
        <v>42</v>
      </c>
      <c r="D354" s="70">
        <v>25</v>
      </c>
      <c r="E354" s="70">
        <v>1</v>
      </c>
      <c r="F354" s="70">
        <v>0</v>
      </c>
      <c r="G354" s="129">
        <v>17.8</v>
      </c>
      <c r="H354" s="70" t="s">
        <v>0</v>
      </c>
    </row>
    <row r="355" spans="1:8">
      <c r="A355" s="70">
        <v>0</v>
      </c>
      <c r="B355" s="70">
        <v>3</v>
      </c>
      <c r="C355" s="70" t="s">
        <v>42</v>
      </c>
      <c r="D355" s="70">
        <v>29.7</v>
      </c>
      <c r="E355" s="70">
        <v>0</v>
      </c>
      <c r="F355" s="70">
        <v>0</v>
      </c>
      <c r="G355" s="129">
        <v>7.2249999999999996</v>
      </c>
      <c r="H355" s="70" t="s">
        <v>1</v>
      </c>
    </row>
    <row r="356" spans="1:8">
      <c r="A356" s="70">
        <v>0</v>
      </c>
      <c r="B356" s="70">
        <v>3</v>
      </c>
      <c r="C356" s="70" t="s">
        <v>42</v>
      </c>
      <c r="D356" s="70">
        <v>28</v>
      </c>
      <c r="E356" s="70">
        <v>0</v>
      </c>
      <c r="F356" s="70">
        <v>0</v>
      </c>
      <c r="G356" s="129">
        <v>9.5</v>
      </c>
      <c r="H356" s="70" t="s">
        <v>0</v>
      </c>
    </row>
    <row r="357" spans="1:8">
      <c r="A357" s="70">
        <v>1</v>
      </c>
      <c r="B357" s="70">
        <v>1</v>
      </c>
      <c r="C357" s="70" t="s">
        <v>41</v>
      </c>
      <c r="D357" s="70">
        <v>22</v>
      </c>
      <c r="E357" s="70">
        <v>0</v>
      </c>
      <c r="F357" s="70">
        <v>1</v>
      </c>
      <c r="G357" s="129">
        <v>55</v>
      </c>
      <c r="H357" s="70" t="s">
        <v>0</v>
      </c>
    </row>
    <row r="358" spans="1:8">
      <c r="A358" s="70">
        <v>0</v>
      </c>
      <c r="B358" s="70">
        <v>2</v>
      </c>
      <c r="C358" s="70" t="s">
        <v>41</v>
      </c>
      <c r="D358" s="70">
        <v>38</v>
      </c>
      <c r="E358" s="70">
        <v>0</v>
      </c>
      <c r="F358" s="70">
        <v>0</v>
      </c>
      <c r="G358" s="129">
        <v>13</v>
      </c>
      <c r="H358" s="70" t="s">
        <v>0</v>
      </c>
    </row>
    <row r="359" spans="1:8">
      <c r="A359" s="70">
        <v>1</v>
      </c>
      <c r="B359" s="70">
        <v>3</v>
      </c>
      <c r="C359" s="70" t="s">
        <v>41</v>
      </c>
      <c r="D359" s="70">
        <v>29.7</v>
      </c>
      <c r="E359" s="70">
        <v>0</v>
      </c>
      <c r="F359" s="70">
        <v>0</v>
      </c>
      <c r="G359" s="129">
        <v>7.8792</v>
      </c>
      <c r="H359" s="70" t="s">
        <v>2</v>
      </c>
    </row>
    <row r="360" spans="1:8">
      <c r="A360" s="70">
        <v>1</v>
      </c>
      <c r="B360" s="70">
        <v>3</v>
      </c>
      <c r="C360" s="70" t="s">
        <v>41</v>
      </c>
      <c r="D360" s="70">
        <v>29.7</v>
      </c>
      <c r="E360" s="70">
        <v>0</v>
      </c>
      <c r="F360" s="70">
        <v>0</v>
      </c>
      <c r="G360" s="129">
        <v>7.8792</v>
      </c>
      <c r="H360" s="70" t="s">
        <v>2</v>
      </c>
    </row>
    <row r="361" spans="1:8">
      <c r="A361" s="70">
        <v>0</v>
      </c>
      <c r="B361" s="70">
        <v>3</v>
      </c>
      <c r="C361" s="70" t="s">
        <v>42</v>
      </c>
      <c r="D361" s="70">
        <v>40</v>
      </c>
      <c r="E361" s="70">
        <v>1</v>
      </c>
      <c r="F361" s="70">
        <v>4</v>
      </c>
      <c r="G361" s="129">
        <v>27.9</v>
      </c>
      <c r="H361" s="70" t="s">
        <v>0</v>
      </c>
    </row>
    <row r="362" spans="1:8">
      <c r="A362" s="70">
        <v>0</v>
      </c>
      <c r="B362" s="70">
        <v>2</v>
      </c>
      <c r="C362" s="70" t="s">
        <v>42</v>
      </c>
      <c r="D362" s="70">
        <v>29</v>
      </c>
      <c r="E362" s="70">
        <v>1</v>
      </c>
      <c r="F362" s="70">
        <v>0</v>
      </c>
      <c r="G362" s="129">
        <v>27.720800000000001</v>
      </c>
      <c r="H362" s="70" t="s">
        <v>1</v>
      </c>
    </row>
    <row r="363" spans="1:8">
      <c r="A363" s="70">
        <v>0</v>
      </c>
      <c r="B363" s="70">
        <v>3</v>
      </c>
      <c r="C363" s="70" t="s">
        <v>41</v>
      </c>
      <c r="D363" s="70">
        <v>45</v>
      </c>
      <c r="E363" s="70">
        <v>0</v>
      </c>
      <c r="F363" s="70">
        <v>1</v>
      </c>
      <c r="G363" s="129">
        <v>14.4542</v>
      </c>
      <c r="H363" s="70" t="s">
        <v>1</v>
      </c>
    </row>
    <row r="364" spans="1:8">
      <c r="A364" s="70">
        <v>0</v>
      </c>
      <c r="B364" s="70">
        <v>3</v>
      </c>
      <c r="C364" s="70" t="s">
        <v>42</v>
      </c>
      <c r="D364" s="70">
        <v>35</v>
      </c>
      <c r="E364" s="70">
        <v>0</v>
      </c>
      <c r="F364" s="70">
        <v>0</v>
      </c>
      <c r="G364" s="129">
        <v>7.05</v>
      </c>
      <c r="H364" s="70" t="s">
        <v>0</v>
      </c>
    </row>
    <row r="365" spans="1:8">
      <c r="A365" s="70">
        <v>0</v>
      </c>
      <c r="B365" s="70">
        <v>3</v>
      </c>
      <c r="C365" s="70" t="s">
        <v>42</v>
      </c>
      <c r="D365" s="70">
        <v>29.7</v>
      </c>
      <c r="E365" s="70">
        <v>1</v>
      </c>
      <c r="F365" s="70">
        <v>0</v>
      </c>
      <c r="G365" s="129">
        <v>15.5</v>
      </c>
      <c r="H365" s="70" t="s">
        <v>2</v>
      </c>
    </row>
    <row r="366" spans="1:8">
      <c r="A366" s="70">
        <v>0</v>
      </c>
      <c r="B366" s="70">
        <v>3</v>
      </c>
      <c r="C366" s="70" t="s">
        <v>42</v>
      </c>
      <c r="D366" s="70">
        <v>30</v>
      </c>
      <c r="E366" s="70">
        <v>0</v>
      </c>
      <c r="F366" s="70">
        <v>0</v>
      </c>
      <c r="G366" s="129">
        <v>7.25</v>
      </c>
      <c r="H366" s="70" t="s">
        <v>0</v>
      </c>
    </row>
    <row r="367" spans="1:8">
      <c r="A367" s="70">
        <v>1</v>
      </c>
      <c r="B367" s="70">
        <v>1</v>
      </c>
      <c r="C367" s="70" t="s">
        <v>41</v>
      </c>
      <c r="D367" s="70">
        <v>60</v>
      </c>
      <c r="E367" s="70">
        <v>1</v>
      </c>
      <c r="F367" s="70">
        <v>0</v>
      </c>
      <c r="G367" s="129">
        <v>75.25</v>
      </c>
      <c r="H367" s="70" t="s">
        <v>1</v>
      </c>
    </row>
    <row r="368" spans="1:8">
      <c r="A368" s="70">
        <v>1</v>
      </c>
      <c r="B368" s="70">
        <v>3</v>
      </c>
      <c r="C368" s="70" t="s">
        <v>41</v>
      </c>
      <c r="D368" s="70">
        <v>29.7</v>
      </c>
      <c r="E368" s="70">
        <v>0</v>
      </c>
      <c r="F368" s="70">
        <v>0</v>
      </c>
      <c r="G368" s="129">
        <v>7.2291999999999996</v>
      </c>
      <c r="H368" s="70" t="s">
        <v>1</v>
      </c>
    </row>
    <row r="369" spans="1:8">
      <c r="A369" s="70">
        <v>1</v>
      </c>
      <c r="B369" s="70">
        <v>3</v>
      </c>
      <c r="C369" s="70" t="s">
        <v>41</v>
      </c>
      <c r="D369" s="70">
        <v>29.7</v>
      </c>
      <c r="E369" s="70">
        <v>0</v>
      </c>
      <c r="F369" s="70">
        <v>0</v>
      </c>
      <c r="G369" s="129">
        <v>7.75</v>
      </c>
      <c r="H369" s="70" t="s">
        <v>2</v>
      </c>
    </row>
    <row r="370" spans="1:8">
      <c r="A370" s="70">
        <v>1</v>
      </c>
      <c r="B370" s="70">
        <v>1</v>
      </c>
      <c r="C370" s="70" t="s">
        <v>41</v>
      </c>
      <c r="D370" s="70">
        <v>24</v>
      </c>
      <c r="E370" s="70">
        <v>0</v>
      </c>
      <c r="F370" s="70">
        <v>0</v>
      </c>
      <c r="G370" s="129">
        <v>69.3</v>
      </c>
      <c r="H370" s="70" t="s">
        <v>1</v>
      </c>
    </row>
    <row r="371" spans="1:8">
      <c r="A371" s="70">
        <v>1</v>
      </c>
      <c r="B371" s="70">
        <v>1</v>
      </c>
      <c r="C371" s="70" t="s">
        <v>42</v>
      </c>
      <c r="D371" s="70">
        <v>25</v>
      </c>
      <c r="E371" s="70">
        <v>1</v>
      </c>
      <c r="F371" s="70">
        <v>0</v>
      </c>
      <c r="G371" s="129">
        <v>55.441699999999997</v>
      </c>
      <c r="H371" s="70" t="s">
        <v>1</v>
      </c>
    </row>
    <row r="372" spans="1:8">
      <c r="A372" s="70">
        <v>0</v>
      </c>
      <c r="B372" s="70">
        <v>3</v>
      </c>
      <c r="C372" s="70" t="s">
        <v>42</v>
      </c>
      <c r="D372" s="70">
        <v>18</v>
      </c>
      <c r="E372" s="70">
        <v>1</v>
      </c>
      <c r="F372" s="70">
        <v>0</v>
      </c>
      <c r="G372" s="129">
        <v>6.4958</v>
      </c>
      <c r="H372" s="70" t="s">
        <v>0</v>
      </c>
    </row>
    <row r="373" spans="1:8">
      <c r="A373" s="70">
        <v>0</v>
      </c>
      <c r="B373" s="70">
        <v>3</v>
      </c>
      <c r="C373" s="70" t="s">
        <v>42</v>
      </c>
      <c r="D373" s="70">
        <v>19</v>
      </c>
      <c r="E373" s="70">
        <v>0</v>
      </c>
      <c r="F373" s="70">
        <v>0</v>
      </c>
      <c r="G373" s="129">
        <v>8.0500000000000007</v>
      </c>
      <c r="H373" s="70" t="s">
        <v>0</v>
      </c>
    </row>
    <row r="374" spans="1:8">
      <c r="A374" s="70">
        <v>0</v>
      </c>
      <c r="B374" s="70">
        <v>1</v>
      </c>
      <c r="C374" s="70" t="s">
        <v>42</v>
      </c>
      <c r="D374" s="70">
        <v>22</v>
      </c>
      <c r="E374" s="70">
        <v>0</v>
      </c>
      <c r="F374" s="70">
        <v>0</v>
      </c>
      <c r="G374" s="129">
        <v>135.63329999999999</v>
      </c>
      <c r="H374" s="70" t="s">
        <v>1</v>
      </c>
    </row>
    <row r="375" spans="1:8">
      <c r="A375" s="70">
        <v>0</v>
      </c>
      <c r="B375" s="70">
        <v>3</v>
      </c>
      <c r="C375" s="70" t="s">
        <v>41</v>
      </c>
      <c r="D375" s="70">
        <v>3</v>
      </c>
      <c r="E375" s="70">
        <v>3</v>
      </c>
      <c r="F375" s="70">
        <v>1</v>
      </c>
      <c r="G375" s="129">
        <v>21.074999999999999</v>
      </c>
      <c r="H375" s="70" t="s">
        <v>0</v>
      </c>
    </row>
    <row r="376" spans="1:8">
      <c r="A376" s="70">
        <v>1</v>
      </c>
      <c r="B376" s="70">
        <v>1</v>
      </c>
      <c r="C376" s="70" t="s">
        <v>41</v>
      </c>
      <c r="D376" s="70">
        <v>29.7</v>
      </c>
      <c r="E376" s="70">
        <v>1</v>
      </c>
      <c r="F376" s="70">
        <v>0</v>
      </c>
      <c r="G376" s="129">
        <v>82.1708</v>
      </c>
      <c r="H376" s="70" t="s">
        <v>1</v>
      </c>
    </row>
    <row r="377" spans="1:8">
      <c r="A377" s="70">
        <v>1</v>
      </c>
      <c r="B377" s="70">
        <v>3</v>
      </c>
      <c r="C377" s="70" t="s">
        <v>41</v>
      </c>
      <c r="D377" s="70">
        <v>22</v>
      </c>
      <c r="E377" s="70">
        <v>0</v>
      </c>
      <c r="F377" s="70">
        <v>0</v>
      </c>
      <c r="G377" s="129">
        <v>7.25</v>
      </c>
      <c r="H377" s="70" t="s">
        <v>0</v>
      </c>
    </row>
    <row r="378" spans="1:8">
      <c r="A378" s="70">
        <v>0</v>
      </c>
      <c r="B378" s="70">
        <v>1</v>
      </c>
      <c r="C378" s="70" t="s">
        <v>42</v>
      </c>
      <c r="D378" s="70">
        <v>27</v>
      </c>
      <c r="E378" s="70">
        <v>0</v>
      </c>
      <c r="F378" s="70">
        <v>2</v>
      </c>
      <c r="G378" s="129">
        <v>211.5</v>
      </c>
      <c r="H378" s="70" t="s">
        <v>1</v>
      </c>
    </row>
    <row r="379" spans="1:8">
      <c r="A379" s="70">
        <v>0</v>
      </c>
      <c r="B379" s="70">
        <v>3</v>
      </c>
      <c r="C379" s="70" t="s">
        <v>42</v>
      </c>
      <c r="D379" s="70">
        <v>20</v>
      </c>
      <c r="E379" s="70">
        <v>0</v>
      </c>
      <c r="F379" s="70">
        <v>0</v>
      </c>
      <c r="G379" s="129">
        <v>4.0125000000000002</v>
      </c>
      <c r="H379" s="70" t="s">
        <v>1</v>
      </c>
    </row>
    <row r="380" spans="1:8">
      <c r="A380" s="70">
        <v>0</v>
      </c>
      <c r="B380" s="70">
        <v>3</v>
      </c>
      <c r="C380" s="70" t="s">
        <v>42</v>
      </c>
      <c r="D380" s="70">
        <v>19</v>
      </c>
      <c r="E380" s="70">
        <v>0</v>
      </c>
      <c r="F380" s="70">
        <v>0</v>
      </c>
      <c r="G380" s="129">
        <v>7.7750000000000004</v>
      </c>
      <c r="H380" s="70" t="s">
        <v>0</v>
      </c>
    </row>
    <row r="381" spans="1:8">
      <c r="A381" s="70">
        <v>1</v>
      </c>
      <c r="B381" s="70">
        <v>1</v>
      </c>
      <c r="C381" s="70" t="s">
        <v>41</v>
      </c>
      <c r="D381" s="70">
        <v>42</v>
      </c>
      <c r="E381" s="70">
        <v>0</v>
      </c>
      <c r="F381" s="70">
        <v>0</v>
      </c>
      <c r="G381" s="129">
        <v>227.52500000000001</v>
      </c>
      <c r="H381" s="70" t="s">
        <v>1</v>
      </c>
    </row>
    <row r="382" spans="1:8">
      <c r="A382" s="70">
        <v>1</v>
      </c>
      <c r="B382" s="70">
        <v>3</v>
      </c>
      <c r="C382" s="70" t="s">
        <v>41</v>
      </c>
      <c r="D382" s="70">
        <v>1</v>
      </c>
      <c r="E382" s="70">
        <v>0</v>
      </c>
      <c r="F382" s="70">
        <v>2</v>
      </c>
      <c r="G382" s="129">
        <v>15.7417</v>
      </c>
      <c r="H382" s="70" t="s">
        <v>1</v>
      </c>
    </row>
    <row r="383" spans="1:8">
      <c r="A383" s="70">
        <v>0</v>
      </c>
      <c r="B383" s="70">
        <v>3</v>
      </c>
      <c r="C383" s="70" t="s">
        <v>42</v>
      </c>
      <c r="D383" s="70">
        <v>32</v>
      </c>
      <c r="E383" s="70">
        <v>0</v>
      </c>
      <c r="F383" s="70">
        <v>0</v>
      </c>
      <c r="G383" s="129">
        <v>7.9249999999999998</v>
      </c>
      <c r="H383" s="70" t="s">
        <v>0</v>
      </c>
    </row>
    <row r="384" spans="1:8">
      <c r="A384" s="70">
        <v>1</v>
      </c>
      <c r="B384" s="70">
        <v>1</v>
      </c>
      <c r="C384" s="70" t="s">
        <v>41</v>
      </c>
      <c r="D384" s="70">
        <v>35</v>
      </c>
      <c r="E384" s="70">
        <v>1</v>
      </c>
      <c r="F384" s="70">
        <v>0</v>
      </c>
      <c r="G384" s="129">
        <v>52</v>
      </c>
      <c r="H384" s="70" t="s">
        <v>0</v>
      </c>
    </row>
    <row r="385" spans="1:8">
      <c r="A385" s="70">
        <v>0</v>
      </c>
      <c r="B385" s="70">
        <v>3</v>
      </c>
      <c r="C385" s="70" t="s">
        <v>42</v>
      </c>
      <c r="D385" s="70">
        <v>29.7</v>
      </c>
      <c r="E385" s="70">
        <v>0</v>
      </c>
      <c r="F385" s="70">
        <v>0</v>
      </c>
      <c r="G385" s="129">
        <v>7.8958000000000004</v>
      </c>
      <c r="H385" s="70" t="s">
        <v>0</v>
      </c>
    </row>
    <row r="386" spans="1:8">
      <c r="A386" s="70">
        <v>0</v>
      </c>
      <c r="B386" s="70">
        <v>2</v>
      </c>
      <c r="C386" s="70" t="s">
        <v>42</v>
      </c>
      <c r="D386" s="70">
        <v>18</v>
      </c>
      <c r="E386" s="70">
        <v>0</v>
      </c>
      <c r="F386" s="70">
        <v>0</v>
      </c>
      <c r="G386" s="129">
        <v>73.5</v>
      </c>
      <c r="H386" s="70" t="s">
        <v>0</v>
      </c>
    </row>
    <row r="387" spans="1:8">
      <c r="A387" s="70">
        <v>0</v>
      </c>
      <c r="B387" s="70">
        <v>3</v>
      </c>
      <c r="C387" s="70" t="s">
        <v>42</v>
      </c>
      <c r="D387" s="70">
        <v>1</v>
      </c>
      <c r="E387" s="70">
        <v>5</v>
      </c>
      <c r="F387" s="70">
        <v>2</v>
      </c>
      <c r="G387" s="129">
        <v>46.9</v>
      </c>
      <c r="H387" s="70" t="s">
        <v>0</v>
      </c>
    </row>
    <row r="388" spans="1:8">
      <c r="A388" s="70">
        <v>1</v>
      </c>
      <c r="B388" s="70">
        <v>2</v>
      </c>
      <c r="C388" s="70" t="s">
        <v>41</v>
      </c>
      <c r="D388" s="70">
        <v>36</v>
      </c>
      <c r="E388" s="70">
        <v>0</v>
      </c>
      <c r="F388" s="70">
        <v>0</v>
      </c>
      <c r="G388" s="129">
        <v>13</v>
      </c>
      <c r="H388" s="70" t="s">
        <v>0</v>
      </c>
    </row>
    <row r="389" spans="1:8">
      <c r="A389" s="70">
        <v>0</v>
      </c>
      <c r="B389" s="70">
        <v>3</v>
      </c>
      <c r="C389" s="70" t="s">
        <v>42</v>
      </c>
      <c r="D389" s="70">
        <v>29.7</v>
      </c>
      <c r="E389" s="70">
        <v>0</v>
      </c>
      <c r="F389" s="70">
        <v>0</v>
      </c>
      <c r="G389" s="129">
        <v>7.7291999999999996</v>
      </c>
      <c r="H389" s="70" t="s">
        <v>2</v>
      </c>
    </row>
    <row r="390" spans="1:8">
      <c r="A390" s="70">
        <v>1</v>
      </c>
      <c r="B390" s="70">
        <v>2</v>
      </c>
      <c r="C390" s="70" t="s">
        <v>41</v>
      </c>
      <c r="D390" s="70">
        <v>17</v>
      </c>
      <c r="E390" s="70">
        <v>0</v>
      </c>
      <c r="F390" s="70">
        <v>0</v>
      </c>
      <c r="G390" s="129">
        <v>12</v>
      </c>
      <c r="H390" s="70" t="s">
        <v>1</v>
      </c>
    </row>
    <row r="391" spans="1:8">
      <c r="A391" s="70">
        <v>1</v>
      </c>
      <c r="B391" s="70">
        <v>1</v>
      </c>
      <c r="C391" s="70" t="s">
        <v>42</v>
      </c>
      <c r="D391" s="70">
        <v>36</v>
      </c>
      <c r="E391" s="70">
        <v>1</v>
      </c>
      <c r="F391" s="70">
        <v>2</v>
      </c>
      <c r="G391" s="129">
        <v>120</v>
      </c>
      <c r="H391" s="70" t="s">
        <v>0</v>
      </c>
    </row>
    <row r="392" spans="1:8">
      <c r="A392" s="70">
        <v>1</v>
      </c>
      <c r="B392" s="70">
        <v>3</v>
      </c>
      <c r="C392" s="70" t="s">
        <v>42</v>
      </c>
      <c r="D392" s="70">
        <v>21</v>
      </c>
      <c r="E392" s="70">
        <v>0</v>
      </c>
      <c r="F392" s="70">
        <v>0</v>
      </c>
      <c r="G392" s="129">
        <v>7.7957999999999998</v>
      </c>
      <c r="H392" s="70" t="s">
        <v>0</v>
      </c>
    </row>
    <row r="393" spans="1:8">
      <c r="A393" s="70">
        <v>0</v>
      </c>
      <c r="B393" s="70">
        <v>3</v>
      </c>
      <c r="C393" s="70" t="s">
        <v>42</v>
      </c>
      <c r="D393" s="70">
        <v>28</v>
      </c>
      <c r="E393" s="70">
        <v>2</v>
      </c>
      <c r="F393" s="70">
        <v>0</v>
      </c>
      <c r="G393" s="129">
        <v>7.9249999999999998</v>
      </c>
      <c r="H393" s="70" t="s">
        <v>0</v>
      </c>
    </row>
    <row r="394" spans="1:8">
      <c r="A394" s="70">
        <v>1</v>
      </c>
      <c r="B394" s="70">
        <v>1</v>
      </c>
      <c r="C394" s="70" t="s">
        <v>41</v>
      </c>
      <c r="D394" s="70">
        <v>23</v>
      </c>
      <c r="E394" s="70">
        <v>1</v>
      </c>
      <c r="F394" s="70">
        <v>0</v>
      </c>
      <c r="G394" s="129">
        <v>113.27500000000001</v>
      </c>
      <c r="H394" s="70" t="s">
        <v>1</v>
      </c>
    </row>
    <row r="395" spans="1:8">
      <c r="A395" s="70">
        <v>1</v>
      </c>
      <c r="B395" s="70">
        <v>3</v>
      </c>
      <c r="C395" s="70" t="s">
        <v>41</v>
      </c>
      <c r="D395" s="70">
        <v>24</v>
      </c>
      <c r="E395" s="70">
        <v>0</v>
      </c>
      <c r="F395" s="70">
        <v>2</v>
      </c>
      <c r="G395" s="129">
        <v>16.7</v>
      </c>
      <c r="H395" s="70" t="s">
        <v>0</v>
      </c>
    </row>
    <row r="396" spans="1:8">
      <c r="A396" s="70">
        <v>0</v>
      </c>
      <c r="B396" s="70">
        <v>3</v>
      </c>
      <c r="C396" s="70" t="s">
        <v>42</v>
      </c>
      <c r="D396" s="70">
        <v>22</v>
      </c>
      <c r="E396" s="70">
        <v>0</v>
      </c>
      <c r="F396" s="70">
        <v>0</v>
      </c>
      <c r="G396" s="129">
        <v>7.7957999999999998</v>
      </c>
      <c r="H396" s="70" t="s">
        <v>0</v>
      </c>
    </row>
    <row r="397" spans="1:8">
      <c r="A397" s="70">
        <v>0</v>
      </c>
      <c r="B397" s="70">
        <v>3</v>
      </c>
      <c r="C397" s="70" t="s">
        <v>41</v>
      </c>
      <c r="D397" s="70">
        <v>31</v>
      </c>
      <c r="E397" s="70">
        <v>0</v>
      </c>
      <c r="F397" s="70">
        <v>0</v>
      </c>
      <c r="G397" s="129">
        <v>7.8541999999999996</v>
      </c>
      <c r="H397" s="70" t="s">
        <v>0</v>
      </c>
    </row>
    <row r="398" spans="1:8">
      <c r="A398" s="70">
        <v>0</v>
      </c>
      <c r="B398" s="70">
        <v>2</v>
      </c>
      <c r="C398" s="70" t="s">
        <v>42</v>
      </c>
      <c r="D398" s="70">
        <v>46</v>
      </c>
      <c r="E398" s="70">
        <v>0</v>
      </c>
      <c r="F398" s="70">
        <v>0</v>
      </c>
      <c r="G398" s="129">
        <v>26</v>
      </c>
      <c r="H398" s="70" t="s">
        <v>0</v>
      </c>
    </row>
    <row r="399" spans="1:8">
      <c r="A399" s="70">
        <v>0</v>
      </c>
      <c r="B399" s="70">
        <v>2</v>
      </c>
      <c r="C399" s="70" t="s">
        <v>42</v>
      </c>
      <c r="D399" s="70">
        <v>23</v>
      </c>
      <c r="E399" s="70">
        <v>0</v>
      </c>
      <c r="F399" s="70">
        <v>0</v>
      </c>
      <c r="G399" s="129">
        <v>10.5</v>
      </c>
      <c r="H399" s="70" t="s">
        <v>0</v>
      </c>
    </row>
    <row r="400" spans="1:8">
      <c r="A400" s="70">
        <v>1</v>
      </c>
      <c r="B400" s="70">
        <v>2</v>
      </c>
      <c r="C400" s="70" t="s">
        <v>41</v>
      </c>
      <c r="D400" s="70">
        <v>28</v>
      </c>
      <c r="E400" s="70">
        <v>0</v>
      </c>
      <c r="F400" s="70">
        <v>0</v>
      </c>
      <c r="G400" s="129">
        <v>12.65</v>
      </c>
      <c r="H400" s="70" t="s">
        <v>0</v>
      </c>
    </row>
    <row r="401" spans="1:8">
      <c r="A401" s="70">
        <v>1</v>
      </c>
      <c r="B401" s="70">
        <v>3</v>
      </c>
      <c r="C401" s="70" t="s">
        <v>42</v>
      </c>
      <c r="D401" s="70">
        <v>39</v>
      </c>
      <c r="E401" s="70">
        <v>0</v>
      </c>
      <c r="F401" s="70">
        <v>0</v>
      </c>
      <c r="G401" s="129">
        <v>7.9249999999999998</v>
      </c>
      <c r="H401" s="70" t="s">
        <v>0</v>
      </c>
    </row>
    <row r="402" spans="1:8">
      <c r="A402" s="70">
        <v>0</v>
      </c>
      <c r="B402" s="70">
        <v>3</v>
      </c>
      <c r="C402" s="70" t="s">
        <v>42</v>
      </c>
      <c r="D402" s="70">
        <v>26</v>
      </c>
      <c r="E402" s="70">
        <v>0</v>
      </c>
      <c r="F402" s="70">
        <v>0</v>
      </c>
      <c r="G402" s="129">
        <v>8.0500000000000007</v>
      </c>
      <c r="H402" s="70" t="s">
        <v>0</v>
      </c>
    </row>
    <row r="403" spans="1:8">
      <c r="A403" s="70">
        <v>0</v>
      </c>
      <c r="B403" s="70">
        <v>3</v>
      </c>
      <c r="C403" s="70" t="s">
        <v>41</v>
      </c>
      <c r="D403" s="70">
        <v>21</v>
      </c>
      <c r="E403" s="70">
        <v>1</v>
      </c>
      <c r="F403" s="70">
        <v>0</v>
      </c>
      <c r="G403" s="129">
        <v>9.8249999999999993</v>
      </c>
      <c r="H403" s="70" t="s">
        <v>0</v>
      </c>
    </row>
    <row r="404" spans="1:8">
      <c r="A404" s="70">
        <v>0</v>
      </c>
      <c r="B404" s="70">
        <v>3</v>
      </c>
      <c r="C404" s="70" t="s">
        <v>42</v>
      </c>
      <c r="D404" s="70">
        <v>28</v>
      </c>
      <c r="E404" s="70">
        <v>1</v>
      </c>
      <c r="F404" s="70">
        <v>0</v>
      </c>
      <c r="G404" s="129">
        <v>15.85</v>
      </c>
      <c r="H404" s="70" t="s">
        <v>0</v>
      </c>
    </row>
    <row r="405" spans="1:8">
      <c r="A405" s="70">
        <v>0</v>
      </c>
      <c r="B405" s="70">
        <v>3</v>
      </c>
      <c r="C405" s="70" t="s">
        <v>41</v>
      </c>
      <c r="D405" s="70">
        <v>20</v>
      </c>
      <c r="E405" s="70">
        <v>0</v>
      </c>
      <c r="F405" s="70">
        <v>0</v>
      </c>
      <c r="G405" s="129">
        <v>8.6624999999999996</v>
      </c>
      <c r="H405" s="70" t="s">
        <v>0</v>
      </c>
    </row>
    <row r="406" spans="1:8">
      <c r="A406" s="70">
        <v>0</v>
      </c>
      <c r="B406" s="70">
        <v>2</v>
      </c>
      <c r="C406" s="70" t="s">
        <v>42</v>
      </c>
      <c r="D406" s="70">
        <v>34</v>
      </c>
      <c r="E406" s="70">
        <v>1</v>
      </c>
      <c r="F406" s="70">
        <v>0</v>
      </c>
      <c r="G406" s="129">
        <v>21</v>
      </c>
      <c r="H406" s="70" t="s">
        <v>0</v>
      </c>
    </row>
    <row r="407" spans="1:8">
      <c r="A407" s="70">
        <v>0</v>
      </c>
      <c r="B407" s="70">
        <v>3</v>
      </c>
      <c r="C407" s="70" t="s">
        <v>42</v>
      </c>
      <c r="D407" s="70">
        <v>51</v>
      </c>
      <c r="E407" s="70">
        <v>0</v>
      </c>
      <c r="F407" s="70">
        <v>0</v>
      </c>
      <c r="G407" s="129">
        <v>7.75</v>
      </c>
      <c r="H407" s="70" t="s">
        <v>0</v>
      </c>
    </row>
    <row r="408" spans="1:8">
      <c r="A408" s="70">
        <v>1</v>
      </c>
      <c r="B408" s="70">
        <v>2</v>
      </c>
      <c r="C408" s="70" t="s">
        <v>42</v>
      </c>
      <c r="D408" s="70">
        <v>3</v>
      </c>
      <c r="E408" s="70">
        <v>1</v>
      </c>
      <c r="F408" s="70">
        <v>1</v>
      </c>
      <c r="G408" s="129">
        <v>18.75</v>
      </c>
      <c r="H408" s="70" t="s">
        <v>0</v>
      </c>
    </row>
    <row r="409" spans="1:8">
      <c r="A409" s="70">
        <v>0</v>
      </c>
      <c r="B409" s="70">
        <v>3</v>
      </c>
      <c r="C409" s="70" t="s">
        <v>42</v>
      </c>
      <c r="D409" s="70">
        <v>21</v>
      </c>
      <c r="E409" s="70">
        <v>0</v>
      </c>
      <c r="F409" s="70">
        <v>0</v>
      </c>
      <c r="G409" s="129">
        <v>7.7750000000000004</v>
      </c>
      <c r="H409" s="70" t="s">
        <v>0</v>
      </c>
    </row>
    <row r="410" spans="1:8">
      <c r="A410" s="70">
        <v>0</v>
      </c>
      <c r="B410" s="70">
        <v>3</v>
      </c>
      <c r="C410" s="70" t="s">
        <v>41</v>
      </c>
      <c r="D410" s="70">
        <v>29.7</v>
      </c>
      <c r="E410" s="70">
        <v>3</v>
      </c>
      <c r="F410" s="70">
        <v>1</v>
      </c>
      <c r="G410" s="129">
        <v>25.466699999999999</v>
      </c>
      <c r="H410" s="70" t="s">
        <v>0</v>
      </c>
    </row>
    <row r="411" spans="1:8">
      <c r="A411" s="70">
        <v>0</v>
      </c>
      <c r="B411" s="70">
        <v>3</v>
      </c>
      <c r="C411" s="70" t="s">
        <v>42</v>
      </c>
      <c r="D411" s="70">
        <v>29.7</v>
      </c>
      <c r="E411" s="70">
        <v>0</v>
      </c>
      <c r="F411" s="70">
        <v>0</v>
      </c>
      <c r="G411" s="129">
        <v>7.8958000000000004</v>
      </c>
      <c r="H411" s="70" t="s">
        <v>0</v>
      </c>
    </row>
    <row r="412" spans="1:8">
      <c r="A412" s="70">
        <v>0</v>
      </c>
      <c r="B412" s="70">
        <v>3</v>
      </c>
      <c r="C412" s="70" t="s">
        <v>42</v>
      </c>
      <c r="D412" s="70">
        <v>29.7</v>
      </c>
      <c r="E412" s="70">
        <v>0</v>
      </c>
      <c r="F412" s="70">
        <v>0</v>
      </c>
      <c r="G412" s="129">
        <v>6.8582999999999998</v>
      </c>
      <c r="H412" s="70" t="s">
        <v>2</v>
      </c>
    </row>
    <row r="413" spans="1:8">
      <c r="A413" s="70">
        <v>1</v>
      </c>
      <c r="B413" s="70">
        <v>1</v>
      </c>
      <c r="C413" s="70" t="s">
        <v>41</v>
      </c>
      <c r="D413" s="70">
        <v>33</v>
      </c>
      <c r="E413" s="70">
        <v>1</v>
      </c>
      <c r="F413" s="70">
        <v>0</v>
      </c>
      <c r="G413" s="129">
        <v>90</v>
      </c>
      <c r="H413" s="70" t="s">
        <v>2</v>
      </c>
    </row>
    <row r="414" spans="1:8">
      <c r="A414" s="70">
        <v>0</v>
      </c>
      <c r="B414" s="70">
        <v>2</v>
      </c>
      <c r="C414" s="70" t="s">
        <v>42</v>
      </c>
      <c r="D414" s="70">
        <v>29.7</v>
      </c>
      <c r="E414" s="70">
        <v>0</v>
      </c>
      <c r="F414" s="70">
        <v>0</v>
      </c>
      <c r="G414" s="129">
        <v>0</v>
      </c>
      <c r="H414" s="70" t="s">
        <v>0</v>
      </c>
    </row>
    <row r="415" spans="1:8">
      <c r="A415" s="70">
        <v>1</v>
      </c>
      <c r="B415" s="70">
        <v>3</v>
      </c>
      <c r="C415" s="70" t="s">
        <v>42</v>
      </c>
      <c r="D415" s="70">
        <v>44</v>
      </c>
      <c r="E415" s="70">
        <v>0</v>
      </c>
      <c r="F415" s="70">
        <v>0</v>
      </c>
      <c r="G415" s="129">
        <v>7.9249999999999998</v>
      </c>
      <c r="H415" s="70" t="s">
        <v>0</v>
      </c>
    </row>
    <row r="416" spans="1:8">
      <c r="A416" s="70">
        <v>0</v>
      </c>
      <c r="B416" s="70">
        <v>3</v>
      </c>
      <c r="C416" s="70" t="s">
        <v>41</v>
      </c>
      <c r="D416" s="70">
        <v>29.7</v>
      </c>
      <c r="E416" s="70">
        <v>0</v>
      </c>
      <c r="F416" s="70">
        <v>0</v>
      </c>
      <c r="G416" s="129">
        <v>8.0500000000000007</v>
      </c>
      <c r="H416" s="70" t="s">
        <v>0</v>
      </c>
    </row>
    <row r="417" spans="1:8">
      <c r="A417" s="70">
        <v>1</v>
      </c>
      <c r="B417" s="70">
        <v>2</v>
      </c>
      <c r="C417" s="70" t="s">
        <v>41</v>
      </c>
      <c r="D417" s="70">
        <v>34</v>
      </c>
      <c r="E417" s="70">
        <v>1</v>
      </c>
      <c r="F417" s="70">
        <v>1</v>
      </c>
      <c r="G417" s="129">
        <v>32.5</v>
      </c>
      <c r="H417" s="70" t="s">
        <v>0</v>
      </c>
    </row>
    <row r="418" spans="1:8">
      <c r="A418" s="70">
        <v>1</v>
      </c>
      <c r="B418" s="70">
        <v>2</v>
      </c>
      <c r="C418" s="70" t="s">
        <v>41</v>
      </c>
      <c r="D418" s="70">
        <v>18</v>
      </c>
      <c r="E418" s="70">
        <v>0</v>
      </c>
      <c r="F418" s="70">
        <v>2</v>
      </c>
      <c r="G418" s="129">
        <v>13</v>
      </c>
      <c r="H418" s="70" t="s">
        <v>0</v>
      </c>
    </row>
    <row r="419" spans="1:8">
      <c r="A419" s="70">
        <v>0</v>
      </c>
      <c r="B419" s="70">
        <v>2</v>
      </c>
      <c r="C419" s="70" t="s">
        <v>42</v>
      </c>
      <c r="D419" s="70">
        <v>30</v>
      </c>
      <c r="E419" s="70">
        <v>0</v>
      </c>
      <c r="F419" s="70">
        <v>0</v>
      </c>
      <c r="G419" s="129">
        <v>13</v>
      </c>
      <c r="H419" s="70" t="s">
        <v>0</v>
      </c>
    </row>
    <row r="420" spans="1:8">
      <c r="A420" s="70">
        <v>0</v>
      </c>
      <c r="B420" s="70">
        <v>3</v>
      </c>
      <c r="C420" s="70" t="s">
        <v>41</v>
      </c>
      <c r="D420" s="70">
        <v>10</v>
      </c>
      <c r="E420" s="70">
        <v>0</v>
      </c>
      <c r="F420" s="70">
        <v>2</v>
      </c>
      <c r="G420" s="129">
        <v>24.15</v>
      </c>
      <c r="H420" s="70" t="s">
        <v>0</v>
      </c>
    </row>
    <row r="421" spans="1:8">
      <c r="A421" s="70">
        <v>0</v>
      </c>
      <c r="B421" s="70">
        <v>3</v>
      </c>
      <c r="C421" s="70" t="s">
        <v>42</v>
      </c>
      <c r="D421" s="70">
        <v>29.7</v>
      </c>
      <c r="E421" s="70">
        <v>0</v>
      </c>
      <c r="F421" s="70">
        <v>0</v>
      </c>
      <c r="G421" s="129">
        <v>7.8958000000000004</v>
      </c>
      <c r="H421" s="70" t="s">
        <v>1</v>
      </c>
    </row>
    <row r="422" spans="1:8">
      <c r="A422" s="70">
        <v>0</v>
      </c>
      <c r="B422" s="70">
        <v>3</v>
      </c>
      <c r="C422" s="70" t="s">
        <v>42</v>
      </c>
      <c r="D422" s="70">
        <v>21</v>
      </c>
      <c r="E422" s="70">
        <v>0</v>
      </c>
      <c r="F422" s="70">
        <v>0</v>
      </c>
      <c r="G422" s="129">
        <v>7.7332999999999998</v>
      </c>
      <c r="H422" s="70" t="s">
        <v>2</v>
      </c>
    </row>
    <row r="423" spans="1:8">
      <c r="A423" s="70">
        <v>0</v>
      </c>
      <c r="B423" s="70">
        <v>3</v>
      </c>
      <c r="C423" s="70" t="s">
        <v>42</v>
      </c>
      <c r="D423" s="70">
        <v>29</v>
      </c>
      <c r="E423" s="70">
        <v>0</v>
      </c>
      <c r="F423" s="70">
        <v>0</v>
      </c>
      <c r="G423" s="129">
        <v>7.875</v>
      </c>
      <c r="H423" s="70" t="s">
        <v>0</v>
      </c>
    </row>
    <row r="424" spans="1:8">
      <c r="A424" s="70">
        <v>0</v>
      </c>
      <c r="B424" s="70">
        <v>3</v>
      </c>
      <c r="C424" s="70" t="s">
        <v>41</v>
      </c>
      <c r="D424" s="70">
        <v>28</v>
      </c>
      <c r="E424" s="70">
        <v>1</v>
      </c>
      <c r="F424" s="70">
        <v>1</v>
      </c>
      <c r="G424" s="129">
        <v>14.4</v>
      </c>
      <c r="H424" s="70" t="s">
        <v>0</v>
      </c>
    </row>
    <row r="425" spans="1:8">
      <c r="A425" s="70">
        <v>0</v>
      </c>
      <c r="B425" s="70">
        <v>3</v>
      </c>
      <c r="C425" s="70" t="s">
        <v>42</v>
      </c>
      <c r="D425" s="70">
        <v>18</v>
      </c>
      <c r="E425" s="70">
        <v>1</v>
      </c>
      <c r="F425" s="70">
        <v>1</v>
      </c>
      <c r="G425" s="129">
        <v>20.212499999999999</v>
      </c>
      <c r="H425" s="70" t="s">
        <v>0</v>
      </c>
    </row>
    <row r="426" spans="1:8">
      <c r="A426" s="70">
        <v>0</v>
      </c>
      <c r="B426" s="70">
        <v>3</v>
      </c>
      <c r="C426" s="70" t="s">
        <v>42</v>
      </c>
      <c r="D426" s="70">
        <v>29.7</v>
      </c>
      <c r="E426" s="70">
        <v>0</v>
      </c>
      <c r="F426" s="70">
        <v>0</v>
      </c>
      <c r="G426" s="129">
        <v>7.25</v>
      </c>
      <c r="H426" s="70" t="s">
        <v>0</v>
      </c>
    </row>
    <row r="427" spans="1:8">
      <c r="A427" s="70">
        <v>1</v>
      </c>
      <c r="B427" s="70">
        <v>2</v>
      </c>
      <c r="C427" s="70" t="s">
        <v>41</v>
      </c>
      <c r="D427" s="70">
        <v>28</v>
      </c>
      <c r="E427" s="70">
        <v>1</v>
      </c>
      <c r="F427" s="70">
        <v>0</v>
      </c>
      <c r="G427" s="129">
        <v>26</v>
      </c>
      <c r="H427" s="70" t="s">
        <v>0</v>
      </c>
    </row>
    <row r="428" spans="1:8">
      <c r="A428" s="70">
        <v>1</v>
      </c>
      <c r="B428" s="70">
        <v>2</v>
      </c>
      <c r="C428" s="70" t="s">
        <v>41</v>
      </c>
      <c r="D428" s="70">
        <v>19</v>
      </c>
      <c r="E428" s="70">
        <v>0</v>
      </c>
      <c r="F428" s="70">
        <v>0</v>
      </c>
      <c r="G428" s="129">
        <v>26</v>
      </c>
      <c r="H428" s="70" t="s">
        <v>0</v>
      </c>
    </row>
    <row r="429" spans="1:8">
      <c r="A429" s="70">
        <v>0</v>
      </c>
      <c r="B429" s="70">
        <v>3</v>
      </c>
      <c r="C429" s="70" t="s">
        <v>42</v>
      </c>
      <c r="D429" s="70">
        <v>29.7</v>
      </c>
      <c r="E429" s="70">
        <v>0</v>
      </c>
      <c r="F429" s="70">
        <v>0</v>
      </c>
      <c r="G429" s="129">
        <v>7.75</v>
      </c>
      <c r="H429" s="70" t="s">
        <v>2</v>
      </c>
    </row>
    <row r="430" spans="1:8">
      <c r="A430" s="70">
        <v>1</v>
      </c>
      <c r="B430" s="70">
        <v>3</v>
      </c>
      <c r="C430" s="70" t="s">
        <v>42</v>
      </c>
      <c r="D430" s="70">
        <v>32</v>
      </c>
      <c r="E430" s="70">
        <v>0</v>
      </c>
      <c r="F430" s="70">
        <v>0</v>
      </c>
      <c r="G430" s="129">
        <v>8.0500000000000007</v>
      </c>
      <c r="H430" s="70" t="s">
        <v>0</v>
      </c>
    </row>
    <row r="431" spans="1:8">
      <c r="A431" s="70">
        <v>1</v>
      </c>
      <c r="B431" s="70">
        <v>1</v>
      </c>
      <c r="C431" s="70" t="s">
        <v>42</v>
      </c>
      <c r="D431" s="70">
        <v>28</v>
      </c>
      <c r="E431" s="70">
        <v>0</v>
      </c>
      <c r="F431" s="70">
        <v>0</v>
      </c>
      <c r="G431" s="129">
        <v>26.55</v>
      </c>
      <c r="H431" s="70" t="s">
        <v>0</v>
      </c>
    </row>
    <row r="432" spans="1:8">
      <c r="A432" s="70">
        <v>1</v>
      </c>
      <c r="B432" s="70">
        <v>3</v>
      </c>
      <c r="C432" s="70" t="s">
        <v>41</v>
      </c>
      <c r="D432" s="70">
        <v>29.7</v>
      </c>
      <c r="E432" s="70">
        <v>1</v>
      </c>
      <c r="F432" s="70">
        <v>0</v>
      </c>
      <c r="G432" s="129">
        <v>16.100000000000001</v>
      </c>
      <c r="H432" s="70" t="s">
        <v>0</v>
      </c>
    </row>
    <row r="433" spans="1:8">
      <c r="A433" s="70">
        <v>1</v>
      </c>
      <c r="B433" s="70">
        <v>2</v>
      </c>
      <c r="C433" s="70" t="s">
        <v>41</v>
      </c>
      <c r="D433" s="70">
        <v>42</v>
      </c>
      <c r="E433" s="70">
        <v>1</v>
      </c>
      <c r="F433" s="70">
        <v>0</v>
      </c>
      <c r="G433" s="129">
        <v>26</v>
      </c>
      <c r="H433" s="70" t="s">
        <v>0</v>
      </c>
    </row>
    <row r="434" spans="1:8">
      <c r="A434" s="70">
        <v>0</v>
      </c>
      <c r="B434" s="70">
        <v>3</v>
      </c>
      <c r="C434" s="70" t="s">
        <v>42</v>
      </c>
      <c r="D434" s="70">
        <v>17</v>
      </c>
      <c r="E434" s="70">
        <v>0</v>
      </c>
      <c r="F434" s="70">
        <v>0</v>
      </c>
      <c r="G434" s="129">
        <v>7.125</v>
      </c>
      <c r="H434" s="70" t="s">
        <v>0</v>
      </c>
    </row>
    <row r="435" spans="1:8">
      <c r="A435" s="70">
        <v>0</v>
      </c>
      <c r="B435" s="70">
        <v>1</v>
      </c>
      <c r="C435" s="70" t="s">
        <v>42</v>
      </c>
      <c r="D435" s="70">
        <v>50</v>
      </c>
      <c r="E435" s="70">
        <v>1</v>
      </c>
      <c r="F435" s="70">
        <v>0</v>
      </c>
      <c r="G435" s="129">
        <v>55.9</v>
      </c>
      <c r="H435" s="70" t="s">
        <v>0</v>
      </c>
    </row>
    <row r="436" spans="1:8">
      <c r="A436" s="70">
        <v>1</v>
      </c>
      <c r="B436" s="70">
        <v>1</v>
      </c>
      <c r="C436" s="70" t="s">
        <v>41</v>
      </c>
      <c r="D436" s="70">
        <v>14</v>
      </c>
      <c r="E436" s="70">
        <v>1</v>
      </c>
      <c r="F436" s="70">
        <v>2</v>
      </c>
      <c r="G436" s="129">
        <v>120</v>
      </c>
      <c r="H436" s="70" t="s">
        <v>0</v>
      </c>
    </row>
    <row r="437" spans="1:8">
      <c r="A437" s="70">
        <v>0</v>
      </c>
      <c r="B437" s="70">
        <v>3</v>
      </c>
      <c r="C437" s="70" t="s">
        <v>41</v>
      </c>
      <c r="D437" s="70">
        <v>21</v>
      </c>
      <c r="E437" s="70">
        <v>2</v>
      </c>
      <c r="F437" s="70">
        <v>2</v>
      </c>
      <c r="G437" s="129">
        <v>34.375</v>
      </c>
      <c r="H437" s="70" t="s">
        <v>0</v>
      </c>
    </row>
    <row r="438" spans="1:8">
      <c r="A438" s="70">
        <v>1</v>
      </c>
      <c r="B438" s="70">
        <v>2</v>
      </c>
      <c r="C438" s="70" t="s">
        <v>41</v>
      </c>
      <c r="D438" s="70">
        <v>24</v>
      </c>
      <c r="E438" s="70">
        <v>2</v>
      </c>
      <c r="F438" s="70">
        <v>3</v>
      </c>
      <c r="G438" s="129">
        <v>18.75</v>
      </c>
      <c r="H438" s="70" t="s">
        <v>0</v>
      </c>
    </row>
    <row r="439" spans="1:8">
      <c r="A439" s="70">
        <v>0</v>
      </c>
      <c r="B439" s="70">
        <v>1</v>
      </c>
      <c r="C439" s="70" t="s">
        <v>42</v>
      </c>
      <c r="D439" s="70">
        <v>64</v>
      </c>
      <c r="E439" s="70">
        <v>1</v>
      </c>
      <c r="F439" s="70">
        <v>4</v>
      </c>
      <c r="G439" s="129">
        <v>263</v>
      </c>
      <c r="H439" s="70" t="s">
        <v>0</v>
      </c>
    </row>
    <row r="440" spans="1:8">
      <c r="A440" s="70">
        <v>0</v>
      </c>
      <c r="B440" s="70">
        <v>2</v>
      </c>
      <c r="C440" s="70" t="s">
        <v>42</v>
      </c>
      <c r="D440" s="70">
        <v>31</v>
      </c>
      <c r="E440" s="70">
        <v>0</v>
      </c>
      <c r="F440" s="70">
        <v>0</v>
      </c>
      <c r="G440" s="129">
        <v>10.5</v>
      </c>
      <c r="H440" s="70" t="s">
        <v>0</v>
      </c>
    </row>
    <row r="441" spans="1:8">
      <c r="A441" s="70">
        <v>1</v>
      </c>
      <c r="B441" s="70">
        <v>2</v>
      </c>
      <c r="C441" s="70" t="s">
        <v>41</v>
      </c>
      <c r="D441" s="70">
        <v>45</v>
      </c>
      <c r="E441" s="70">
        <v>1</v>
      </c>
      <c r="F441" s="70">
        <v>1</v>
      </c>
      <c r="G441" s="129">
        <v>26.25</v>
      </c>
      <c r="H441" s="70" t="s">
        <v>0</v>
      </c>
    </row>
    <row r="442" spans="1:8">
      <c r="A442" s="70">
        <v>0</v>
      </c>
      <c r="B442" s="70">
        <v>3</v>
      </c>
      <c r="C442" s="70" t="s">
        <v>42</v>
      </c>
      <c r="D442" s="70">
        <v>20</v>
      </c>
      <c r="E442" s="70">
        <v>0</v>
      </c>
      <c r="F442" s="70">
        <v>0</v>
      </c>
      <c r="G442" s="129">
        <v>9.5</v>
      </c>
      <c r="H442" s="70" t="s">
        <v>0</v>
      </c>
    </row>
    <row r="443" spans="1:8">
      <c r="A443" s="70">
        <v>0</v>
      </c>
      <c r="B443" s="70">
        <v>3</v>
      </c>
      <c r="C443" s="70" t="s">
        <v>42</v>
      </c>
      <c r="D443" s="70">
        <v>25</v>
      </c>
      <c r="E443" s="70">
        <v>1</v>
      </c>
      <c r="F443" s="70">
        <v>0</v>
      </c>
      <c r="G443" s="129">
        <v>7.7750000000000004</v>
      </c>
      <c r="H443" s="70" t="s">
        <v>0</v>
      </c>
    </row>
    <row r="444" spans="1:8">
      <c r="A444" s="70">
        <v>1</v>
      </c>
      <c r="B444" s="70">
        <v>2</v>
      </c>
      <c r="C444" s="70" t="s">
        <v>41</v>
      </c>
      <c r="D444" s="70">
        <v>28</v>
      </c>
      <c r="E444" s="70">
        <v>0</v>
      </c>
      <c r="F444" s="70">
        <v>0</v>
      </c>
      <c r="G444" s="129">
        <v>13</v>
      </c>
      <c r="H444" s="70" t="s">
        <v>0</v>
      </c>
    </row>
    <row r="445" spans="1:8">
      <c r="A445" s="70">
        <v>1</v>
      </c>
      <c r="B445" s="70">
        <v>3</v>
      </c>
      <c r="C445" s="70" t="s">
        <v>42</v>
      </c>
      <c r="D445" s="70">
        <v>29.7</v>
      </c>
      <c r="E445" s="70">
        <v>0</v>
      </c>
      <c r="F445" s="70">
        <v>0</v>
      </c>
      <c r="G445" s="129">
        <v>8.1125000000000007</v>
      </c>
      <c r="H445" s="70" t="s">
        <v>0</v>
      </c>
    </row>
    <row r="446" spans="1:8">
      <c r="A446" s="70">
        <v>1</v>
      </c>
      <c r="B446" s="70">
        <v>1</v>
      </c>
      <c r="C446" s="70" t="s">
        <v>42</v>
      </c>
      <c r="D446" s="70">
        <v>4</v>
      </c>
      <c r="E446" s="70">
        <v>0</v>
      </c>
      <c r="F446" s="70">
        <v>2</v>
      </c>
      <c r="G446" s="129">
        <v>81.8583</v>
      </c>
      <c r="H446" s="70" t="s">
        <v>0</v>
      </c>
    </row>
    <row r="447" spans="1:8">
      <c r="A447" s="70">
        <v>1</v>
      </c>
      <c r="B447" s="70">
        <v>2</v>
      </c>
      <c r="C447" s="70" t="s">
        <v>41</v>
      </c>
      <c r="D447" s="70">
        <v>13</v>
      </c>
      <c r="E447" s="70">
        <v>0</v>
      </c>
      <c r="F447" s="70">
        <v>1</v>
      </c>
      <c r="G447" s="129">
        <v>19.5</v>
      </c>
      <c r="H447" s="70" t="s">
        <v>0</v>
      </c>
    </row>
    <row r="448" spans="1:8">
      <c r="A448" s="70">
        <v>1</v>
      </c>
      <c r="B448" s="70">
        <v>1</v>
      </c>
      <c r="C448" s="70" t="s">
        <v>42</v>
      </c>
      <c r="D448" s="70">
        <v>34</v>
      </c>
      <c r="E448" s="70">
        <v>0</v>
      </c>
      <c r="F448" s="70">
        <v>0</v>
      </c>
      <c r="G448" s="129">
        <v>26.55</v>
      </c>
      <c r="H448" s="70" t="s">
        <v>0</v>
      </c>
    </row>
    <row r="449" spans="1:8">
      <c r="A449" s="70">
        <v>1</v>
      </c>
      <c r="B449" s="70">
        <v>3</v>
      </c>
      <c r="C449" s="70" t="s">
        <v>41</v>
      </c>
      <c r="D449" s="70">
        <v>5</v>
      </c>
      <c r="E449" s="70">
        <v>2</v>
      </c>
      <c r="F449" s="70">
        <v>1</v>
      </c>
      <c r="G449" s="129">
        <v>19.258299999999998</v>
      </c>
      <c r="H449" s="70" t="s">
        <v>1</v>
      </c>
    </row>
    <row r="450" spans="1:8">
      <c r="A450" s="70">
        <v>1</v>
      </c>
      <c r="B450" s="70">
        <v>1</v>
      </c>
      <c r="C450" s="70" t="s">
        <v>42</v>
      </c>
      <c r="D450" s="70">
        <v>52</v>
      </c>
      <c r="E450" s="70">
        <v>0</v>
      </c>
      <c r="F450" s="70">
        <v>0</v>
      </c>
      <c r="G450" s="129">
        <v>30.5</v>
      </c>
      <c r="H450" s="70" t="s">
        <v>0</v>
      </c>
    </row>
    <row r="451" spans="1:8">
      <c r="A451" s="70">
        <v>0</v>
      </c>
      <c r="B451" s="70">
        <v>2</v>
      </c>
      <c r="C451" s="70" t="s">
        <v>42</v>
      </c>
      <c r="D451" s="70">
        <v>36</v>
      </c>
      <c r="E451" s="70">
        <v>1</v>
      </c>
      <c r="F451" s="70">
        <v>2</v>
      </c>
      <c r="G451" s="129">
        <v>27.75</v>
      </c>
      <c r="H451" s="70" t="s">
        <v>0</v>
      </c>
    </row>
    <row r="452" spans="1:8">
      <c r="A452" s="70">
        <v>0</v>
      </c>
      <c r="B452" s="70">
        <v>3</v>
      </c>
      <c r="C452" s="70" t="s">
        <v>42</v>
      </c>
      <c r="D452" s="70">
        <v>29.7</v>
      </c>
      <c r="E452" s="70">
        <v>1</v>
      </c>
      <c r="F452" s="70">
        <v>0</v>
      </c>
      <c r="G452" s="129">
        <v>19.966699999999999</v>
      </c>
      <c r="H452" s="70" t="s">
        <v>0</v>
      </c>
    </row>
    <row r="453" spans="1:8">
      <c r="A453" s="70">
        <v>0</v>
      </c>
      <c r="B453" s="70">
        <v>1</v>
      </c>
      <c r="C453" s="70" t="s">
        <v>42</v>
      </c>
      <c r="D453" s="70">
        <v>30</v>
      </c>
      <c r="E453" s="70">
        <v>0</v>
      </c>
      <c r="F453" s="70">
        <v>0</v>
      </c>
      <c r="G453" s="129">
        <v>27.75</v>
      </c>
      <c r="H453" s="70" t="s">
        <v>1</v>
      </c>
    </row>
    <row r="454" spans="1:8">
      <c r="A454" s="70">
        <v>1</v>
      </c>
      <c r="B454" s="70">
        <v>1</v>
      </c>
      <c r="C454" s="70" t="s">
        <v>42</v>
      </c>
      <c r="D454" s="70">
        <v>49</v>
      </c>
      <c r="E454" s="70">
        <v>1</v>
      </c>
      <c r="F454" s="70">
        <v>0</v>
      </c>
      <c r="G454" s="129">
        <v>89.104200000000006</v>
      </c>
      <c r="H454" s="70" t="s">
        <v>1</v>
      </c>
    </row>
    <row r="455" spans="1:8">
      <c r="A455" s="70">
        <v>0</v>
      </c>
      <c r="B455" s="70">
        <v>3</v>
      </c>
      <c r="C455" s="70" t="s">
        <v>42</v>
      </c>
      <c r="D455" s="70">
        <v>29.7</v>
      </c>
      <c r="E455" s="70">
        <v>0</v>
      </c>
      <c r="F455" s="70">
        <v>0</v>
      </c>
      <c r="G455" s="129">
        <v>8.0500000000000007</v>
      </c>
      <c r="H455" s="70" t="s">
        <v>0</v>
      </c>
    </row>
    <row r="456" spans="1:8">
      <c r="A456" s="70">
        <v>1</v>
      </c>
      <c r="B456" s="70">
        <v>3</v>
      </c>
      <c r="C456" s="70" t="s">
        <v>42</v>
      </c>
      <c r="D456" s="70">
        <v>29</v>
      </c>
      <c r="E456" s="70">
        <v>0</v>
      </c>
      <c r="F456" s="70">
        <v>0</v>
      </c>
      <c r="G456" s="129">
        <v>7.8958000000000004</v>
      </c>
      <c r="H456" s="70" t="s">
        <v>1</v>
      </c>
    </row>
    <row r="457" spans="1:8">
      <c r="A457" s="70">
        <v>0</v>
      </c>
      <c r="B457" s="70">
        <v>1</v>
      </c>
      <c r="C457" s="70" t="s">
        <v>42</v>
      </c>
      <c r="D457" s="70">
        <v>65</v>
      </c>
      <c r="E457" s="70">
        <v>0</v>
      </c>
      <c r="F457" s="70">
        <v>0</v>
      </c>
      <c r="G457" s="129">
        <v>26.55</v>
      </c>
      <c r="H457" s="70" t="s">
        <v>0</v>
      </c>
    </row>
    <row r="458" spans="1:8">
      <c r="A458" s="70">
        <v>1</v>
      </c>
      <c r="B458" s="70">
        <v>1</v>
      </c>
      <c r="C458" s="70" t="s">
        <v>41</v>
      </c>
      <c r="D458" s="70">
        <v>29.7</v>
      </c>
      <c r="E458" s="70">
        <v>1</v>
      </c>
      <c r="F458" s="70">
        <v>0</v>
      </c>
      <c r="G458" s="129">
        <v>51.862499999999997</v>
      </c>
      <c r="H458" s="70" t="s">
        <v>0</v>
      </c>
    </row>
    <row r="459" spans="1:8">
      <c r="A459" s="70">
        <v>1</v>
      </c>
      <c r="B459" s="70">
        <v>2</v>
      </c>
      <c r="C459" s="70" t="s">
        <v>41</v>
      </c>
      <c r="D459" s="70">
        <v>50</v>
      </c>
      <c r="E459" s="70">
        <v>0</v>
      </c>
      <c r="F459" s="70">
        <v>0</v>
      </c>
      <c r="G459" s="129">
        <v>10.5</v>
      </c>
      <c r="H459" s="70" t="s">
        <v>0</v>
      </c>
    </row>
    <row r="460" spans="1:8">
      <c r="A460" s="70">
        <v>0</v>
      </c>
      <c r="B460" s="70">
        <v>3</v>
      </c>
      <c r="C460" s="70" t="s">
        <v>42</v>
      </c>
      <c r="D460" s="70">
        <v>29.7</v>
      </c>
      <c r="E460" s="70">
        <v>0</v>
      </c>
      <c r="F460" s="70">
        <v>0</v>
      </c>
      <c r="G460" s="129">
        <v>7.75</v>
      </c>
      <c r="H460" s="70" t="s">
        <v>2</v>
      </c>
    </row>
    <row r="461" spans="1:8">
      <c r="A461" s="70">
        <v>1</v>
      </c>
      <c r="B461" s="70">
        <v>1</v>
      </c>
      <c r="C461" s="70" t="s">
        <v>42</v>
      </c>
      <c r="D461" s="70">
        <v>48</v>
      </c>
      <c r="E461" s="70">
        <v>0</v>
      </c>
      <c r="F461" s="70">
        <v>0</v>
      </c>
      <c r="G461" s="129">
        <v>26.55</v>
      </c>
      <c r="H461" s="70" t="s">
        <v>0</v>
      </c>
    </row>
    <row r="462" spans="1:8">
      <c r="A462" s="70">
        <v>0</v>
      </c>
      <c r="B462" s="70">
        <v>3</v>
      </c>
      <c r="C462" s="70" t="s">
        <v>42</v>
      </c>
      <c r="D462" s="70">
        <v>34</v>
      </c>
      <c r="E462" s="70">
        <v>0</v>
      </c>
      <c r="F462" s="70">
        <v>0</v>
      </c>
      <c r="G462" s="129">
        <v>8.0500000000000007</v>
      </c>
      <c r="H462" s="70" t="s">
        <v>0</v>
      </c>
    </row>
    <row r="463" spans="1:8">
      <c r="A463" s="70">
        <v>0</v>
      </c>
      <c r="B463" s="70">
        <v>1</v>
      </c>
      <c r="C463" s="70" t="s">
        <v>42</v>
      </c>
      <c r="D463" s="70">
        <v>47</v>
      </c>
      <c r="E463" s="70">
        <v>0</v>
      </c>
      <c r="F463" s="70">
        <v>0</v>
      </c>
      <c r="G463" s="129">
        <v>38.5</v>
      </c>
      <c r="H463" s="70" t="s">
        <v>0</v>
      </c>
    </row>
    <row r="464" spans="1:8">
      <c r="A464" s="70">
        <v>0</v>
      </c>
      <c r="B464" s="70">
        <v>2</v>
      </c>
      <c r="C464" s="70" t="s">
        <v>42</v>
      </c>
      <c r="D464" s="70">
        <v>48</v>
      </c>
      <c r="E464" s="70">
        <v>0</v>
      </c>
      <c r="F464" s="70">
        <v>0</v>
      </c>
      <c r="G464" s="129">
        <v>13</v>
      </c>
      <c r="H464" s="70" t="s">
        <v>0</v>
      </c>
    </row>
    <row r="465" spans="1:8">
      <c r="A465" s="70">
        <v>0</v>
      </c>
      <c r="B465" s="70">
        <v>3</v>
      </c>
      <c r="C465" s="70" t="s">
        <v>42</v>
      </c>
      <c r="D465" s="70">
        <v>29.7</v>
      </c>
      <c r="E465" s="70">
        <v>0</v>
      </c>
      <c r="F465" s="70">
        <v>0</v>
      </c>
      <c r="G465" s="129">
        <v>8.0500000000000007</v>
      </c>
      <c r="H465" s="70" t="s">
        <v>0</v>
      </c>
    </row>
    <row r="466" spans="1:8">
      <c r="A466" s="70">
        <v>0</v>
      </c>
      <c r="B466" s="70">
        <v>3</v>
      </c>
      <c r="C466" s="70" t="s">
        <v>42</v>
      </c>
      <c r="D466" s="70">
        <v>38</v>
      </c>
      <c r="E466" s="70">
        <v>0</v>
      </c>
      <c r="F466" s="70">
        <v>0</v>
      </c>
      <c r="G466" s="129">
        <v>7.05</v>
      </c>
      <c r="H466" s="70" t="s">
        <v>0</v>
      </c>
    </row>
    <row r="467" spans="1:8">
      <c r="A467" s="70">
        <v>0</v>
      </c>
      <c r="B467" s="70">
        <v>2</v>
      </c>
      <c r="C467" s="70" t="s">
        <v>42</v>
      </c>
      <c r="D467" s="70">
        <v>29.7</v>
      </c>
      <c r="E467" s="70">
        <v>0</v>
      </c>
      <c r="F467" s="70">
        <v>0</v>
      </c>
      <c r="G467" s="129">
        <v>0</v>
      </c>
      <c r="H467" s="70" t="s">
        <v>0</v>
      </c>
    </row>
    <row r="468" spans="1:8">
      <c r="A468" s="70">
        <v>0</v>
      </c>
      <c r="B468" s="70">
        <v>1</v>
      </c>
      <c r="C468" s="70" t="s">
        <v>42</v>
      </c>
      <c r="D468" s="70">
        <v>56</v>
      </c>
      <c r="E468" s="70">
        <v>0</v>
      </c>
      <c r="F468" s="70">
        <v>0</v>
      </c>
      <c r="G468" s="129">
        <v>26.55</v>
      </c>
      <c r="H468" s="70" t="s">
        <v>0</v>
      </c>
    </row>
    <row r="469" spans="1:8">
      <c r="A469" s="70">
        <v>0</v>
      </c>
      <c r="B469" s="70">
        <v>3</v>
      </c>
      <c r="C469" s="70" t="s">
        <v>42</v>
      </c>
      <c r="D469" s="70">
        <v>29.7</v>
      </c>
      <c r="E469" s="70">
        <v>0</v>
      </c>
      <c r="F469" s="70">
        <v>0</v>
      </c>
      <c r="G469" s="129">
        <v>7.7249999999999996</v>
      </c>
      <c r="H469" s="70" t="s">
        <v>2</v>
      </c>
    </row>
    <row r="470" spans="1:8">
      <c r="A470" s="70">
        <v>1</v>
      </c>
      <c r="B470" s="70">
        <v>3</v>
      </c>
      <c r="C470" s="70" t="s">
        <v>41</v>
      </c>
      <c r="D470" s="70">
        <v>0.75</v>
      </c>
      <c r="E470" s="70">
        <v>2</v>
      </c>
      <c r="F470" s="70">
        <v>1</v>
      </c>
      <c r="G470" s="129">
        <v>19.258299999999998</v>
      </c>
      <c r="H470" s="70" t="s">
        <v>1</v>
      </c>
    </row>
    <row r="471" spans="1:8">
      <c r="A471" s="70">
        <v>0</v>
      </c>
      <c r="B471" s="70">
        <v>3</v>
      </c>
      <c r="C471" s="70" t="s">
        <v>42</v>
      </c>
      <c r="D471" s="70">
        <v>29.7</v>
      </c>
      <c r="E471" s="70">
        <v>0</v>
      </c>
      <c r="F471" s="70">
        <v>0</v>
      </c>
      <c r="G471" s="129">
        <v>7.25</v>
      </c>
      <c r="H471" s="70" t="s">
        <v>0</v>
      </c>
    </row>
    <row r="472" spans="1:8">
      <c r="A472" s="70">
        <v>0</v>
      </c>
      <c r="B472" s="70">
        <v>3</v>
      </c>
      <c r="C472" s="70" t="s">
        <v>42</v>
      </c>
      <c r="D472" s="70">
        <v>38</v>
      </c>
      <c r="E472" s="70">
        <v>0</v>
      </c>
      <c r="F472" s="70">
        <v>0</v>
      </c>
      <c r="G472" s="129">
        <v>8.6624999999999996</v>
      </c>
      <c r="H472" s="70" t="s">
        <v>0</v>
      </c>
    </row>
    <row r="473" spans="1:8">
      <c r="A473" s="70">
        <v>1</v>
      </c>
      <c r="B473" s="70">
        <v>2</v>
      </c>
      <c r="C473" s="70" t="s">
        <v>41</v>
      </c>
      <c r="D473" s="70">
        <v>33</v>
      </c>
      <c r="E473" s="70">
        <v>1</v>
      </c>
      <c r="F473" s="70">
        <v>2</v>
      </c>
      <c r="G473" s="129">
        <v>27.75</v>
      </c>
      <c r="H473" s="70" t="s">
        <v>0</v>
      </c>
    </row>
    <row r="474" spans="1:8">
      <c r="A474" s="70">
        <v>1</v>
      </c>
      <c r="B474" s="70">
        <v>2</v>
      </c>
      <c r="C474" s="70" t="s">
        <v>41</v>
      </c>
      <c r="D474" s="70">
        <v>23</v>
      </c>
      <c r="E474" s="70">
        <v>0</v>
      </c>
      <c r="F474" s="70">
        <v>0</v>
      </c>
      <c r="G474" s="129">
        <v>13.791700000000001</v>
      </c>
      <c r="H474" s="70" t="s">
        <v>1</v>
      </c>
    </row>
    <row r="475" spans="1:8">
      <c r="A475" s="70">
        <v>0</v>
      </c>
      <c r="B475" s="70">
        <v>3</v>
      </c>
      <c r="C475" s="70" t="s">
        <v>41</v>
      </c>
      <c r="D475" s="70">
        <v>22</v>
      </c>
      <c r="E475" s="70">
        <v>0</v>
      </c>
      <c r="F475" s="70">
        <v>0</v>
      </c>
      <c r="G475" s="129">
        <v>9.8375000000000004</v>
      </c>
      <c r="H475" s="70" t="s">
        <v>0</v>
      </c>
    </row>
    <row r="476" spans="1:8">
      <c r="A476" s="70">
        <v>0</v>
      </c>
      <c r="B476" s="70">
        <v>1</v>
      </c>
      <c r="C476" s="70" t="s">
        <v>42</v>
      </c>
      <c r="D476" s="70">
        <v>29.7</v>
      </c>
      <c r="E476" s="70">
        <v>0</v>
      </c>
      <c r="F476" s="70">
        <v>0</v>
      </c>
      <c r="G476" s="129">
        <v>52</v>
      </c>
      <c r="H476" s="70" t="s">
        <v>0</v>
      </c>
    </row>
    <row r="477" spans="1:8">
      <c r="A477" s="70">
        <v>0</v>
      </c>
      <c r="B477" s="70">
        <v>2</v>
      </c>
      <c r="C477" s="70" t="s">
        <v>42</v>
      </c>
      <c r="D477" s="70">
        <v>34</v>
      </c>
      <c r="E477" s="70">
        <v>1</v>
      </c>
      <c r="F477" s="70">
        <v>0</v>
      </c>
      <c r="G477" s="129">
        <v>21</v>
      </c>
      <c r="H477" s="70" t="s">
        <v>0</v>
      </c>
    </row>
    <row r="478" spans="1:8">
      <c r="A478" s="70">
        <v>0</v>
      </c>
      <c r="B478" s="70">
        <v>3</v>
      </c>
      <c r="C478" s="70" t="s">
        <v>42</v>
      </c>
      <c r="D478" s="70">
        <v>29</v>
      </c>
      <c r="E478" s="70">
        <v>1</v>
      </c>
      <c r="F478" s="70">
        <v>0</v>
      </c>
      <c r="G478" s="129">
        <v>7.0457999999999998</v>
      </c>
      <c r="H478" s="70" t="s">
        <v>0</v>
      </c>
    </row>
    <row r="479" spans="1:8">
      <c r="A479" s="70">
        <v>0</v>
      </c>
      <c r="B479" s="70">
        <v>3</v>
      </c>
      <c r="C479" s="70" t="s">
        <v>42</v>
      </c>
      <c r="D479" s="70">
        <v>22</v>
      </c>
      <c r="E479" s="70">
        <v>0</v>
      </c>
      <c r="F479" s="70">
        <v>0</v>
      </c>
      <c r="G479" s="129">
        <v>7.5208000000000004</v>
      </c>
      <c r="H479" s="70" t="s">
        <v>0</v>
      </c>
    </row>
    <row r="480" spans="1:8">
      <c r="A480" s="70">
        <v>1</v>
      </c>
      <c r="B480" s="70">
        <v>3</v>
      </c>
      <c r="C480" s="70" t="s">
        <v>41</v>
      </c>
      <c r="D480" s="70">
        <v>2</v>
      </c>
      <c r="E480" s="70">
        <v>0</v>
      </c>
      <c r="F480" s="70">
        <v>1</v>
      </c>
      <c r="G480" s="129">
        <v>12.2875</v>
      </c>
      <c r="H480" s="70" t="s">
        <v>0</v>
      </c>
    </row>
    <row r="481" spans="1:8">
      <c r="A481" s="70">
        <v>0</v>
      </c>
      <c r="B481" s="70">
        <v>3</v>
      </c>
      <c r="C481" s="70" t="s">
        <v>42</v>
      </c>
      <c r="D481" s="70">
        <v>9</v>
      </c>
      <c r="E481" s="70">
        <v>5</v>
      </c>
      <c r="F481" s="70">
        <v>2</v>
      </c>
      <c r="G481" s="129">
        <v>46.9</v>
      </c>
      <c r="H481" s="70" t="s">
        <v>0</v>
      </c>
    </row>
    <row r="482" spans="1:8">
      <c r="A482" s="70">
        <v>0</v>
      </c>
      <c r="B482" s="70">
        <v>2</v>
      </c>
      <c r="C482" s="70" t="s">
        <v>42</v>
      </c>
      <c r="D482" s="70">
        <v>29.7</v>
      </c>
      <c r="E482" s="70">
        <v>0</v>
      </c>
      <c r="F482" s="70">
        <v>0</v>
      </c>
      <c r="G482" s="129">
        <v>0</v>
      </c>
      <c r="H482" s="70" t="s">
        <v>0</v>
      </c>
    </row>
    <row r="483" spans="1:8">
      <c r="A483" s="70">
        <v>0</v>
      </c>
      <c r="B483" s="70">
        <v>3</v>
      </c>
      <c r="C483" s="70" t="s">
        <v>42</v>
      </c>
      <c r="D483" s="70">
        <v>50</v>
      </c>
      <c r="E483" s="70">
        <v>0</v>
      </c>
      <c r="F483" s="70">
        <v>0</v>
      </c>
      <c r="G483" s="129">
        <v>8.0500000000000007</v>
      </c>
      <c r="H483" s="70" t="s">
        <v>0</v>
      </c>
    </row>
    <row r="484" spans="1:8">
      <c r="A484" s="70">
        <v>1</v>
      </c>
      <c r="B484" s="70">
        <v>3</v>
      </c>
      <c r="C484" s="70" t="s">
        <v>41</v>
      </c>
      <c r="D484" s="70">
        <v>63</v>
      </c>
      <c r="E484" s="70">
        <v>0</v>
      </c>
      <c r="F484" s="70">
        <v>0</v>
      </c>
      <c r="G484" s="129">
        <v>9.5875000000000004</v>
      </c>
      <c r="H484" s="70" t="s">
        <v>0</v>
      </c>
    </row>
    <row r="485" spans="1:8">
      <c r="A485" s="70">
        <v>1</v>
      </c>
      <c r="B485" s="70">
        <v>1</v>
      </c>
      <c r="C485" s="70" t="s">
        <v>42</v>
      </c>
      <c r="D485" s="70">
        <v>25</v>
      </c>
      <c r="E485" s="70">
        <v>1</v>
      </c>
      <c r="F485" s="70">
        <v>0</v>
      </c>
      <c r="G485" s="129">
        <v>91.0792</v>
      </c>
      <c r="H485" s="70" t="s">
        <v>1</v>
      </c>
    </row>
    <row r="486" spans="1:8">
      <c r="A486" s="70">
        <v>0</v>
      </c>
      <c r="B486" s="70">
        <v>3</v>
      </c>
      <c r="C486" s="70" t="s">
        <v>41</v>
      </c>
      <c r="D486" s="70">
        <v>29.7</v>
      </c>
      <c r="E486" s="70">
        <v>3</v>
      </c>
      <c r="F486" s="70">
        <v>1</v>
      </c>
      <c r="G486" s="129">
        <v>25.466699999999999</v>
      </c>
      <c r="H486" s="70" t="s">
        <v>0</v>
      </c>
    </row>
    <row r="487" spans="1:8">
      <c r="A487" s="70">
        <v>1</v>
      </c>
      <c r="B487" s="70">
        <v>1</v>
      </c>
      <c r="C487" s="70" t="s">
        <v>41</v>
      </c>
      <c r="D487" s="70">
        <v>35</v>
      </c>
      <c r="E487" s="70">
        <v>1</v>
      </c>
      <c r="F487" s="70">
        <v>0</v>
      </c>
      <c r="G487" s="129">
        <v>90</v>
      </c>
      <c r="H487" s="70" t="s">
        <v>0</v>
      </c>
    </row>
    <row r="488" spans="1:8">
      <c r="A488" s="70">
        <v>0</v>
      </c>
      <c r="B488" s="70">
        <v>1</v>
      </c>
      <c r="C488" s="70" t="s">
        <v>42</v>
      </c>
      <c r="D488" s="70">
        <v>58</v>
      </c>
      <c r="E488" s="70">
        <v>0</v>
      </c>
      <c r="F488" s="70">
        <v>0</v>
      </c>
      <c r="G488" s="129">
        <v>29.7</v>
      </c>
      <c r="H488" s="70" t="s">
        <v>1</v>
      </c>
    </row>
    <row r="489" spans="1:8">
      <c r="A489" s="70">
        <v>0</v>
      </c>
      <c r="B489" s="70">
        <v>3</v>
      </c>
      <c r="C489" s="70" t="s">
        <v>42</v>
      </c>
      <c r="D489" s="70">
        <v>30</v>
      </c>
      <c r="E489" s="70">
        <v>0</v>
      </c>
      <c r="F489" s="70">
        <v>0</v>
      </c>
      <c r="G489" s="129">
        <v>8.0500000000000007</v>
      </c>
      <c r="H489" s="70" t="s">
        <v>0</v>
      </c>
    </row>
    <row r="490" spans="1:8">
      <c r="A490" s="70">
        <v>1</v>
      </c>
      <c r="B490" s="70">
        <v>3</v>
      </c>
      <c r="C490" s="70" t="s">
        <v>42</v>
      </c>
      <c r="D490" s="70">
        <v>9</v>
      </c>
      <c r="E490" s="70">
        <v>1</v>
      </c>
      <c r="F490" s="70">
        <v>1</v>
      </c>
      <c r="G490" s="129">
        <v>15.9</v>
      </c>
      <c r="H490" s="70" t="s">
        <v>0</v>
      </c>
    </row>
    <row r="491" spans="1:8">
      <c r="A491" s="70">
        <v>0</v>
      </c>
      <c r="B491" s="70">
        <v>3</v>
      </c>
      <c r="C491" s="70" t="s">
        <v>42</v>
      </c>
      <c r="D491" s="70">
        <v>29.7</v>
      </c>
      <c r="E491" s="70">
        <v>1</v>
      </c>
      <c r="F491" s="70">
        <v>0</v>
      </c>
      <c r="G491" s="129">
        <v>19.966699999999999</v>
      </c>
      <c r="H491" s="70" t="s">
        <v>0</v>
      </c>
    </row>
    <row r="492" spans="1:8">
      <c r="A492" s="70">
        <v>0</v>
      </c>
      <c r="B492" s="70">
        <v>3</v>
      </c>
      <c r="C492" s="70" t="s">
        <v>42</v>
      </c>
      <c r="D492" s="70">
        <v>21</v>
      </c>
      <c r="E492" s="70">
        <v>0</v>
      </c>
      <c r="F492" s="70">
        <v>0</v>
      </c>
      <c r="G492" s="129">
        <v>7.25</v>
      </c>
      <c r="H492" s="70" t="s">
        <v>0</v>
      </c>
    </row>
    <row r="493" spans="1:8">
      <c r="A493" s="70">
        <v>0</v>
      </c>
      <c r="B493" s="70">
        <v>1</v>
      </c>
      <c r="C493" s="70" t="s">
        <v>42</v>
      </c>
      <c r="D493" s="70">
        <v>55</v>
      </c>
      <c r="E493" s="70">
        <v>0</v>
      </c>
      <c r="F493" s="70">
        <v>0</v>
      </c>
      <c r="G493" s="129">
        <v>30.5</v>
      </c>
      <c r="H493" s="70" t="s">
        <v>0</v>
      </c>
    </row>
    <row r="494" spans="1:8">
      <c r="A494" s="70">
        <v>0</v>
      </c>
      <c r="B494" s="70">
        <v>1</v>
      </c>
      <c r="C494" s="70" t="s">
        <v>42</v>
      </c>
      <c r="D494" s="70">
        <v>71</v>
      </c>
      <c r="E494" s="70">
        <v>0</v>
      </c>
      <c r="F494" s="70">
        <v>0</v>
      </c>
      <c r="G494" s="129">
        <v>49.504199999999997</v>
      </c>
      <c r="H494" s="70" t="s">
        <v>1</v>
      </c>
    </row>
    <row r="495" spans="1:8">
      <c r="A495" s="70">
        <v>0</v>
      </c>
      <c r="B495" s="70">
        <v>3</v>
      </c>
      <c r="C495" s="70" t="s">
        <v>42</v>
      </c>
      <c r="D495" s="70">
        <v>21</v>
      </c>
      <c r="E495" s="70">
        <v>0</v>
      </c>
      <c r="F495" s="70">
        <v>0</v>
      </c>
      <c r="G495" s="129">
        <v>8.0500000000000007</v>
      </c>
      <c r="H495" s="70" t="s">
        <v>0</v>
      </c>
    </row>
    <row r="496" spans="1:8">
      <c r="A496" s="70">
        <v>0</v>
      </c>
      <c r="B496" s="70">
        <v>3</v>
      </c>
      <c r="C496" s="70" t="s">
        <v>42</v>
      </c>
      <c r="D496" s="70">
        <v>29.7</v>
      </c>
      <c r="E496" s="70">
        <v>0</v>
      </c>
      <c r="F496" s="70">
        <v>0</v>
      </c>
      <c r="G496" s="129">
        <v>14.458299999999999</v>
      </c>
      <c r="H496" s="70" t="s">
        <v>1</v>
      </c>
    </row>
    <row r="497" spans="1:8">
      <c r="A497" s="70">
        <v>1</v>
      </c>
      <c r="B497" s="70">
        <v>1</v>
      </c>
      <c r="C497" s="70" t="s">
        <v>41</v>
      </c>
      <c r="D497" s="70">
        <v>54</v>
      </c>
      <c r="E497" s="70">
        <v>1</v>
      </c>
      <c r="F497" s="70">
        <v>0</v>
      </c>
      <c r="G497" s="129">
        <v>78.2667</v>
      </c>
      <c r="H497" s="70" t="s">
        <v>1</v>
      </c>
    </row>
    <row r="498" spans="1:8">
      <c r="A498" s="70">
        <v>0</v>
      </c>
      <c r="B498" s="70">
        <v>3</v>
      </c>
      <c r="C498" s="70" t="s">
        <v>42</v>
      </c>
      <c r="D498" s="70">
        <v>29.7</v>
      </c>
      <c r="E498" s="70">
        <v>0</v>
      </c>
      <c r="F498" s="70">
        <v>0</v>
      </c>
      <c r="G498" s="129">
        <v>15.1</v>
      </c>
      <c r="H498" s="70" t="s">
        <v>0</v>
      </c>
    </row>
    <row r="499" spans="1:8">
      <c r="A499" s="70">
        <v>0</v>
      </c>
      <c r="B499" s="70">
        <v>1</v>
      </c>
      <c r="C499" s="70" t="s">
        <v>41</v>
      </c>
      <c r="D499" s="70">
        <v>25</v>
      </c>
      <c r="E499" s="70">
        <v>1</v>
      </c>
      <c r="F499" s="70">
        <v>2</v>
      </c>
      <c r="G499" s="129">
        <v>151.55000000000001</v>
      </c>
      <c r="H499" s="70" t="s">
        <v>0</v>
      </c>
    </row>
    <row r="500" spans="1:8">
      <c r="A500" s="70">
        <v>0</v>
      </c>
      <c r="B500" s="70">
        <v>3</v>
      </c>
      <c r="C500" s="70" t="s">
        <v>42</v>
      </c>
      <c r="D500" s="70">
        <v>24</v>
      </c>
      <c r="E500" s="70">
        <v>0</v>
      </c>
      <c r="F500" s="70">
        <v>0</v>
      </c>
      <c r="G500" s="129">
        <v>7.7957999999999998</v>
      </c>
      <c r="H500" s="70" t="s">
        <v>0</v>
      </c>
    </row>
    <row r="501" spans="1:8">
      <c r="A501" s="70">
        <v>0</v>
      </c>
      <c r="B501" s="70">
        <v>3</v>
      </c>
      <c r="C501" s="70" t="s">
        <v>42</v>
      </c>
      <c r="D501" s="70">
        <v>17</v>
      </c>
      <c r="E501" s="70">
        <v>0</v>
      </c>
      <c r="F501" s="70">
        <v>0</v>
      </c>
      <c r="G501" s="129">
        <v>8.6624999999999996</v>
      </c>
      <c r="H501" s="70" t="s">
        <v>0</v>
      </c>
    </row>
    <row r="502" spans="1:8">
      <c r="A502" s="70">
        <v>0</v>
      </c>
      <c r="B502" s="70">
        <v>3</v>
      </c>
      <c r="C502" s="70" t="s">
        <v>41</v>
      </c>
      <c r="D502" s="70">
        <v>21</v>
      </c>
      <c r="E502" s="70">
        <v>0</v>
      </c>
      <c r="F502" s="70">
        <v>0</v>
      </c>
      <c r="G502" s="129">
        <v>7.75</v>
      </c>
      <c r="H502" s="70" t="s">
        <v>2</v>
      </c>
    </row>
    <row r="503" spans="1:8">
      <c r="A503" s="70">
        <v>0</v>
      </c>
      <c r="B503" s="70">
        <v>3</v>
      </c>
      <c r="C503" s="70" t="s">
        <v>41</v>
      </c>
      <c r="D503" s="70">
        <v>29.7</v>
      </c>
      <c r="E503" s="70">
        <v>0</v>
      </c>
      <c r="F503" s="70">
        <v>0</v>
      </c>
      <c r="G503" s="129">
        <v>7.6292</v>
      </c>
      <c r="H503" s="70" t="s">
        <v>2</v>
      </c>
    </row>
    <row r="504" spans="1:8">
      <c r="A504" s="70">
        <v>0</v>
      </c>
      <c r="B504" s="70">
        <v>3</v>
      </c>
      <c r="C504" s="70" t="s">
        <v>41</v>
      </c>
      <c r="D504" s="70">
        <v>37</v>
      </c>
      <c r="E504" s="70">
        <v>0</v>
      </c>
      <c r="F504" s="70">
        <v>0</v>
      </c>
      <c r="G504" s="129">
        <v>9.5875000000000004</v>
      </c>
      <c r="H504" s="70" t="s">
        <v>0</v>
      </c>
    </row>
    <row r="505" spans="1:8">
      <c r="A505" s="70">
        <v>1</v>
      </c>
      <c r="B505" s="70">
        <v>1</v>
      </c>
      <c r="C505" s="70" t="s">
        <v>41</v>
      </c>
      <c r="D505" s="70">
        <v>16</v>
      </c>
      <c r="E505" s="70">
        <v>0</v>
      </c>
      <c r="F505" s="70">
        <v>0</v>
      </c>
      <c r="G505" s="129">
        <v>86.5</v>
      </c>
      <c r="H505" s="70" t="s">
        <v>0</v>
      </c>
    </row>
    <row r="506" spans="1:8">
      <c r="A506" s="70">
        <v>0</v>
      </c>
      <c r="B506" s="70">
        <v>1</v>
      </c>
      <c r="C506" s="70" t="s">
        <v>42</v>
      </c>
      <c r="D506" s="70">
        <v>18</v>
      </c>
      <c r="E506" s="70">
        <v>1</v>
      </c>
      <c r="F506" s="70">
        <v>0</v>
      </c>
      <c r="G506" s="129">
        <v>108.9</v>
      </c>
      <c r="H506" s="70" t="s">
        <v>1</v>
      </c>
    </row>
    <row r="507" spans="1:8">
      <c r="A507" s="70">
        <v>1</v>
      </c>
      <c r="B507" s="70">
        <v>2</v>
      </c>
      <c r="C507" s="70" t="s">
        <v>41</v>
      </c>
      <c r="D507" s="70">
        <v>33</v>
      </c>
      <c r="E507" s="70">
        <v>0</v>
      </c>
      <c r="F507" s="70">
        <v>2</v>
      </c>
      <c r="G507" s="129">
        <v>26</v>
      </c>
      <c r="H507" s="70" t="s">
        <v>0</v>
      </c>
    </row>
    <row r="508" spans="1:8">
      <c r="A508" s="70">
        <v>1</v>
      </c>
      <c r="B508" s="70">
        <v>1</v>
      </c>
      <c r="C508" s="70" t="s">
        <v>42</v>
      </c>
      <c r="D508" s="70">
        <v>29.7</v>
      </c>
      <c r="E508" s="70">
        <v>0</v>
      </c>
      <c r="F508" s="70">
        <v>0</v>
      </c>
      <c r="G508" s="129">
        <v>26.55</v>
      </c>
      <c r="H508" s="70" t="s">
        <v>0</v>
      </c>
    </row>
    <row r="509" spans="1:8">
      <c r="A509" s="70">
        <v>0</v>
      </c>
      <c r="B509" s="70">
        <v>3</v>
      </c>
      <c r="C509" s="70" t="s">
        <v>42</v>
      </c>
      <c r="D509" s="70">
        <v>28</v>
      </c>
      <c r="E509" s="70">
        <v>0</v>
      </c>
      <c r="F509" s="70">
        <v>0</v>
      </c>
      <c r="G509" s="129">
        <v>22.524999999999999</v>
      </c>
      <c r="H509" s="70" t="s">
        <v>0</v>
      </c>
    </row>
    <row r="510" spans="1:8">
      <c r="A510" s="70">
        <v>1</v>
      </c>
      <c r="B510" s="70">
        <v>3</v>
      </c>
      <c r="C510" s="70" t="s">
        <v>42</v>
      </c>
      <c r="D510" s="70">
        <v>26</v>
      </c>
      <c r="E510" s="70">
        <v>0</v>
      </c>
      <c r="F510" s="70">
        <v>0</v>
      </c>
      <c r="G510" s="129">
        <v>56.495800000000003</v>
      </c>
      <c r="H510" s="70" t="s">
        <v>0</v>
      </c>
    </row>
    <row r="511" spans="1:8">
      <c r="A511" s="70">
        <v>1</v>
      </c>
      <c r="B511" s="70">
        <v>3</v>
      </c>
      <c r="C511" s="70" t="s">
        <v>42</v>
      </c>
      <c r="D511" s="70">
        <v>29</v>
      </c>
      <c r="E511" s="70">
        <v>0</v>
      </c>
      <c r="F511" s="70">
        <v>0</v>
      </c>
      <c r="G511" s="129">
        <v>7.75</v>
      </c>
      <c r="H511" s="70" t="s">
        <v>2</v>
      </c>
    </row>
    <row r="512" spans="1:8">
      <c r="A512" s="70">
        <v>0</v>
      </c>
      <c r="B512" s="70">
        <v>3</v>
      </c>
      <c r="C512" s="70" t="s">
        <v>42</v>
      </c>
      <c r="D512" s="70">
        <v>29.7</v>
      </c>
      <c r="E512" s="70">
        <v>0</v>
      </c>
      <c r="F512" s="70">
        <v>0</v>
      </c>
      <c r="G512" s="129">
        <v>8.0500000000000007</v>
      </c>
      <c r="H512" s="70" t="s">
        <v>0</v>
      </c>
    </row>
    <row r="513" spans="1:8">
      <c r="A513" s="70">
        <v>1</v>
      </c>
      <c r="B513" s="70">
        <v>1</v>
      </c>
      <c r="C513" s="70" t="s">
        <v>42</v>
      </c>
      <c r="D513" s="70">
        <v>36</v>
      </c>
      <c r="E513" s="70">
        <v>0</v>
      </c>
      <c r="F513" s="70">
        <v>0</v>
      </c>
      <c r="G513" s="129">
        <v>26.287500000000001</v>
      </c>
      <c r="H513" s="70" t="s">
        <v>0</v>
      </c>
    </row>
    <row r="514" spans="1:8">
      <c r="A514" s="70">
        <v>1</v>
      </c>
      <c r="B514" s="70">
        <v>1</v>
      </c>
      <c r="C514" s="70" t="s">
        <v>41</v>
      </c>
      <c r="D514" s="70">
        <v>54</v>
      </c>
      <c r="E514" s="70">
        <v>1</v>
      </c>
      <c r="F514" s="70">
        <v>0</v>
      </c>
      <c r="G514" s="129">
        <v>59.4</v>
      </c>
      <c r="H514" s="70" t="s">
        <v>1</v>
      </c>
    </row>
    <row r="515" spans="1:8">
      <c r="A515" s="70">
        <v>0</v>
      </c>
      <c r="B515" s="70">
        <v>3</v>
      </c>
      <c r="C515" s="70" t="s">
        <v>42</v>
      </c>
      <c r="D515" s="70">
        <v>24</v>
      </c>
      <c r="E515" s="70">
        <v>0</v>
      </c>
      <c r="F515" s="70">
        <v>0</v>
      </c>
      <c r="G515" s="129">
        <v>7.4958</v>
      </c>
      <c r="H515" s="70" t="s">
        <v>0</v>
      </c>
    </row>
    <row r="516" spans="1:8">
      <c r="A516" s="70">
        <v>0</v>
      </c>
      <c r="B516" s="70">
        <v>1</v>
      </c>
      <c r="C516" s="70" t="s">
        <v>42</v>
      </c>
      <c r="D516" s="70">
        <v>47</v>
      </c>
      <c r="E516" s="70">
        <v>0</v>
      </c>
      <c r="F516" s="70">
        <v>0</v>
      </c>
      <c r="G516" s="129">
        <v>34.020800000000001</v>
      </c>
      <c r="H516" s="70" t="s">
        <v>0</v>
      </c>
    </row>
    <row r="517" spans="1:8">
      <c r="A517" s="70">
        <v>1</v>
      </c>
      <c r="B517" s="70">
        <v>2</v>
      </c>
      <c r="C517" s="70" t="s">
        <v>41</v>
      </c>
      <c r="D517" s="70">
        <v>34</v>
      </c>
      <c r="E517" s="70">
        <v>0</v>
      </c>
      <c r="F517" s="70">
        <v>0</v>
      </c>
      <c r="G517" s="129">
        <v>10.5</v>
      </c>
      <c r="H517" s="70" t="s">
        <v>0</v>
      </c>
    </row>
    <row r="518" spans="1:8">
      <c r="A518" s="70">
        <v>0</v>
      </c>
      <c r="B518" s="70">
        <v>3</v>
      </c>
      <c r="C518" s="70" t="s">
        <v>42</v>
      </c>
      <c r="D518" s="70">
        <v>29.7</v>
      </c>
      <c r="E518" s="70">
        <v>0</v>
      </c>
      <c r="F518" s="70">
        <v>0</v>
      </c>
      <c r="G518" s="129">
        <v>24.15</v>
      </c>
      <c r="H518" s="70" t="s">
        <v>2</v>
      </c>
    </row>
    <row r="519" spans="1:8">
      <c r="A519" s="70">
        <v>1</v>
      </c>
      <c r="B519" s="70">
        <v>2</v>
      </c>
      <c r="C519" s="70" t="s">
        <v>41</v>
      </c>
      <c r="D519" s="70">
        <v>36</v>
      </c>
      <c r="E519" s="70">
        <v>1</v>
      </c>
      <c r="F519" s="70">
        <v>0</v>
      </c>
      <c r="G519" s="129">
        <v>26</v>
      </c>
      <c r="H519" s="70" t="s">
        <v>0</v>
      </c>
    </row>
    <row r="520" spans="1:8">
      <c r="A520" s="70">
        <v>0</v>
      </c>
      <c r="B520" s="70">
        <v>3</v>
      </c>
      <c r="C520" s="70" t="s">
        <v>42</v>
      </c>
      <c r="D520" s="70">
        <v>32</v>
      </c>
      <c r="E520" s="70">
        <v>0</v>
      </c>
      <c r="F520" s="70">
        <v>0</v>
      </c>
      <c r="G520" s="129">
        <v>7.8958000000000004</v>
      </c>
      <c r="H520" s="70" t="s">
        <v>0</v>
      </c>
    </row>
    <row r="521" spans="1:8">
      <c r="A521" s="70">
        <v>1</v>
      </c>
      <c r="B521" s="70">
        <v>1</v>
      </c>
      <c r="C521" s="70" t="s">
        <v>41</v>
      </c>
      <c r="D521" s="70">
        <v>30</v>
      </c>
      <c r="E521" s="70">
        <v>0</v>
      </c>
      <c r="F521" s="70">
        <v>0</v>
      </c>
      <c r="G521" s="129">
        <v>93.5</v>
      </c>
      <c r="H521" s="70" t="s">
        <v>0</v>
      </c>
    </row>
    <row r="522" spans="1:8">
      <c r="A522" s="70">
        <v>0</v>
      </c>
      <c r="B522" s="70">
        <v>3</v>
      </c>
      <c r="C522" s="70" t="s">
        <v>42</v>
      </c>
      <c r="D522" s="70">
        <v>22</v>
      </c>
      <c r="E522" s="70">
        <v>0</v>
      </c>
      <c r="F522" s="70">
        <v>0</v>
      </c>
      <c r="G522" s="129">
        <v>7.8958000000000004</v>
      </c>
      <c r="H522" s="70" t="s">
        <v>0</v>
      </c>
    </row>
    <row r="523" spans="1:8">
      <c r="A523" s="70">
        <v>0</v>
      </c>
      <c r="B523" s="70">
        <v>3</v>
      </c>
      <c r="C523" s="70" t="s">
        <v>42</v>
      </c>
      <c r="D523" s="70">
        <v>29.7</v>
      </c>
      <c r="E523" s="70">
        <v>0</v>
      </c>
      <c r="F523" s="70">
        <v>0</v>
      </c>
      <c r="G523" s="129">
        <v>7.2249999999999996</v>
      </c>
      <c r="H523" s="70" t="s">
        <v>1</v>
      </c>
    </row>
    <row r="524" spans="1:8">
      <c r="A524" s="70">
        <v>1</v>
      </c>
      <c r="B524" s="70">
        <v>1</v>
      </c>
      <c r="C524" s="70" t="s">
        <v>41</v>
      </c>
      <c r="D524" s="70">
        <v>44</v>
      </c>
      <c r="E524" s="70">
        <v>0</v>
      </c>
      <c r="F524" s="70">
        <v>1</v>
      </c>
      <c r="G524" s="129">
        <v>57.979199999999999</v>
      </c>
      <c r="H524" s="70" t="s">
        <v>1</v>
      </c>
    </row>
    <row r="525" spans="1:8">
      <c r="A525" s="70">
        <v>0</v>
      </c>
      <c r="B525" s="70">
        <v>3</v>
      </c>
      <c r="C525" s="70" t="s">
        <v>42</v>
      </c>
      <c r="D525" s="70">
        <v>29.7</v>
      </c>
      <c r="E525" s="70">
        <v>0</v>
      </c>
      <c r="F525" s="70">
        <v>0</v>
      </c>
      <c r="G525" s="129">
        <v>7.2291999999999996</v>
      </c>
      <c r="H525" s="70" t="s">
        <v>1</v>
      </c>
    </row>
    <row r="526" spans="1:8">
      <c r="A526" s="70">
        <v>0</v>
      </c>
      <c r="B526" s="70">
        <v>3</v>
      </c>
      <c r="C526" s="70" t="s">
        <v>42</v>
      </c>
      <c r="D526" s="70">
        <v>40.5</v>
      </c>
      <c r="E526" s="70">
        <v>0</v>
      </c>
      <c r="F526" s="70">
        <v>0</v>
      </c>
      <c r="G526" s="129">
        <v>7.75</v>
      </c>
      <c r="H526" s="70" t="s">
        <v>2</v>
      </c>
    </row>
    <row r="527" spans="1:8">
      <c r="A527" s="70">
        <v>1</v>
      </c>
      <c r="B527" s="70">
        <v>2</v>
      </c>
      <c r="C527" s="70" t="s">
        <v>41</v>
      </c>
      <c r="D527" s="70">
        <v>50</v>
      </c>
      <c r="E527" s="70">
        <v>0</v>
      </c>
      <c r="F527" s="70">
        <v>0</v>
      </c>
      <c r="G527" s="129">
        <v>10.5</v>
      </c>
      <c r="H527" s="70" t="s">
        <v>0</v>
      </c>
    </row>
    <row r="528" spans="1:8">
      <c r="A528" s="70">
        <v>0</v>
      </c>
      <c r="B528" s="70">
        <v>1</v>
      </c>
      <c r="C528" s="70" t="s">
        <v>42</v>
      </c>
      <c r="D528" s="70">
        <v>29.7</v>
      </c>
      <c r="E528" s="70">
        <v>0</v>
      </c>
      <c r="F528" s="70">
        <v>0</v>
      </c>
      <c r="G528" s="129">
        <v>221.7792</v>
      </c>
      <c r="H528" s="70" t="s">
        <v>0</v>
      </c>
    </row>
    <row r="529" spans="1:8">
      <c r="A529" s="70">
        <v>0</v>
      </c>
      <c r="B529" s="70">
        <v>3</v>
      </c>
      <c r="C529" s="70" t="s">
        <v>42</v>
      </c>
      <c r="D529" s="70">
        <v>39</v>
      </c>
      <c r="E529" s="70">
        <v>0</v>
      </c>
      <c r="F529" s="70">
        <v>0</v>
      </c>
      <c r="G529" s="129">
        <v>7.9249999999999998</v>
      </c>
      <c r="H529" s="70" t="s">
        <v>0</v>
      </c>
    </row>
    <row r="530" spans="1:8">
      <c r="A530" s="70">
        <v>0</v>
      </c>
      <c r="B530" s="70">
        <v>2</v>
      </c>
      <c r="C530" s="70" t="s">
        <v>42</v>
      </c>
      <c r="D530" s="70">
        <v>23</v>
      </c>
      <c r="E530" s="70">
        <v>2</v>
      </c>
      <c r="F530" s="70">
        <v>1</v>
      </c>
      <c r="G530" s="129">
        <v>11.5</v>
      </c>
      <c r="H530" s="70" t="s">
        <v>0</v>
      </c>
    </row>
    <row r="531" spans="1:8">
      <c r="A531" s="70">
        <v>1</v>
      </c>
      <c r="B531" s="70">
        <v>2</v>
      </c>
      <c r="C531" s="70" t="s">
        <v>41</v>
      </c>
      <c r="D531" s="70">
        <v>2</v>
      </c>
      <c r="E531" s="70">
        <v>1</v>
      </c>
      <c r="F531" s="70">
        <v>1</v>
      </c>
      <c r="G531" s="129">
        <v>26</v>
      </c>
      <c r="H531" s="70" t="s">
        <v>0</v>
      </c>
    </row>
    <row r="532" spans="1:8">
      <c r="A532" s="70">
        <v>0</v>
      </c>
      <c r="B532" s="70">
        <v>3</v>
      </c>
      <c r="C532" s="70" t="s">
        <v>42</v>
      </c>
      <c r="D532" s="70">
        <v>29.7</v>
      </c>
      <c r="E532" s="70">
        <v>0</v>
      </c>
      <c r="F532" s="70">
        <v>0</v>
      </c>
      <c r="G532" s="129">
        <v>7.2291999999999996</v>
      </c>
      <c r="H532" s="70" t="s">
        <v>1</v>
      </c>
    </row>
    <row r="533" spans="1:8">
      <c r="A533" s="70">
        <v>0</v>
      </c>
      <c r="B533" s="70">
        <v>3</v>
      </c>
      <c r="C533" s="70" t="s">
        <v>42</v>
      </c>
      <c r="D533" s="70">
        <v>17</v>
      </c>
      <c r="E533" s="70">
        <v>1</v>
      </c>
      <c r="F533" s="70">
        <v>1</v>
      </c>
      <c r="G533" s="129">
        <v>7.2291999999999996</v>
      </c>
      <c r="H533" s="70" t="s">
        <v>1</v>
      </c>
    </row>
    <row r="534" spans="1:8">
      <c r="A534" s="70">
        <v>1</v>
      </c>
      <c r="B534" s="70">
        <v>3</v>
      </c>
      <c r="C534" s="70" t="s">
        <v>41</v>
      </c>
      <c r="D534" s="70">
        <v>29.7</v>
      </c>
      <c r="E534" s="70">
        <v>0</v>
      </c>
      <c r="F534" s="70">
        <v>2</v>
      </c>
      <c r="G534" s="129">
        <v>22.3583</v>
      </c>
      <c r="H534" s="70" t="s">
        <v>1</v>
      </c>
    </row>
    <row r="535" spans="1:8">
      <c r="A535" s="70">
        <v>0</v>
      </c>
      <c r="B535" s="70">
        <v>3</v>
      </c>
      <c r="C535" s="70" t="s">
        <v>41</v>
      </c>
      <c r="D535" s="70">
        <v>30</v>
      </c>
      <c r="E535" s="70">
        <v>0</v>
      </c>
      <c r="F535" s="70">
        <v>0</v>
      </c>
      <c r="G535" s="129">
        <v>8.6624999999999996</v>
      </c>
      <c r="H535" s="70" t="s">
        <v>0</v>
      </c>
    </row>
    <row r="536" spans="1:8">
      <c r="A536" s="70">
        <v>1</v>
      </c>
      <c r="B536" s="70">
        <v>2</v>
      </c>
      <c r="C536" s="70" t="s">
        <v>41</v>
      </c>
      <c r="D536" s="70">
        <v>7</v>
      </c>
      <c r="E536" s="70">
        <v>0</v>
      </c>
      <c r="F536" s="70">
        <v>2</v>
      </c>
      <c r="G536" s="129">
        <v>26.25</v>
      </c>
      <c r="H536" s="70" t="s">
        <v>0</v>
      </c>
    </row>
    <row r="537" spans="1:8">
      <c r="A537" s="70">
        <v>0</v>
      </c>
      <c r="B537" s="70">
        <v>1</v>
      </c>
      <c r="C537" s="70" t="s">
        <v>42</v>
      </c>
      <c r="D537" s="70">
        <v>45</v>
      </c>
      <c r="E537" s="70">
        <v>0</v>
      </c>
      <c r="F537" s="70">
        <v>0</v>
      </c>
      <c r="G537" s="129">
        <v>26.55</v>
      </c>
      <c r="H537" s="70" t="s">
        <v>0</v>
      </c>
    </row>
    <row r="538" spans="1:8">
      <c r="A538" s="70">
        <v>1</v>
      </c>
      <c r="B538" s="70">
        <v>1</v>
      </c>
      <c r="C538" s="70" t="s">
        <v>41</v>
      </c>
      <c r="D538" s="70">
        <v>30</v>
      </c>
      <c r="E538" s="70">
        <v>0</v>
      </c>
      <c r="F538" s="70">
        <v>0</v>
      </c>
      <c r="G538" s="129">
        <v>106.425</v>
      </c>
      <c r="H538" s="70" t="s">
        <v>1</v>
      </c>
    </row>
    <row r="539" spans="1:8">
      <c r="A539" s="70">
        <v>0</v>
      </c>
      <c r="B539" s="70">
        <v>3</v>
      </c>
      <c r="C539" s="70" t="s">
        <v>42</v>
      </c>
      <c r="D539" s="70">
        <v>29.7</v>
      </c>
      <c r="E539" s="70">
        <v>0</v>
      </c>
      <c r="F539" s="70">
        <v>0</v>
      </c>
      <c r="G539" s="129">
        <v>14.5</v>
      </c>
      <c r="H539" s="70" t="s">
        <v>0</v>
      </c>
    </row>
    <row r="540" spans="1:8">
      <c r="A540" s="70">
        <v>1</v>
      </c>
      <c r="B540" s="70">
        <v>1</v>
      </c>
      <c r="C540" s="70" t="s">
        <v>41</v>
      </c>
      <c r="D540" s="70">
        <v>22</v>
      </c>
      <c r="E540" s="70">
        <v>0</v>
      </c>
      <c r="F540" s="70">
        <v>2</v>
      </c>
      <c r="G540" s="129">
        <v>49.5</v>
      </c>
      <c r="H540" s="70" t="s">
        <v>1</v>
      </c>
    </row>
    <row r="541" spans="1:8">
      <c r="A541" s="70">
        <v>1</v>
      </c>
      <c r="B541" s="70">
        <v>1</v>
      </c>
      <c r="C541" s="70" t="s">
        <v>41</v>
      </c>
      <c r="D541" s="70">
        <v>36</v>
      </c>
      <c r="E541" s="70">
        <v>0</v>
      </c>
      <c r="F541" s="70">
        <v>2</v>
      </c>
      <c r="G541" s="129">
        <v>71</v>
      </c>
      <c r="H541" s="70" t="s">
        <v>0</v>
      </c>
    </row>
    <row r="542" spans="1:8">
      <c r="A542" s="70">
        <v>0</v>
      </c>
      <c r="B542" s="70">
        <v>3</v>
      </c>
      <c r="C542" s="70" t="s">
        <v>41</v>
      </c>
      <c r="D542" s="70">
        <v>9</v>
      </c>
      <c r="E542" s="70">
        <v>4</v>
      </c>
      <c r="F542" s="70">
        <v>2</v>
      </c>
      <c r="G542" s="129">
        <v>31.274999999999999</v>
      </c>
      <c r="H542" s="70" t="s">
        <v>0</v>
      </c>
    </row>
    <row r="543" spans="1:8">
      <c r="A543" s="70">
        <v>0</v>
      </c>
      <c r="B543" s="70">
        <v>3</v>
      </c>
      <c r="C543" s="70" t="s">
        <v>41</v>
      </c>
      <c r="D543" s="70">
        <v>11</v>
      </c>
      <c r="E543" s="70">
        <v>4</v>
      </c>
      <c r="F543" s="70">
        <v>2</v>
      </c>
      <c r="G543" s="129">
        <v>31.274999999999999</v>
      </c>
      <c r="H543" s="70" t="s">
        <v>0</v>
      </c>
    </row>
    <row r="544" spans="1:8">
      <c r="A544" s="70">
        <v>1</v>
      </c>
      <c r="B544" s="70">
        <v>2</v>
      </c>
      <c r="C544" s="70" t="s">
        <v>42</v>
      </c>
      <c r="D544" s="70">
        <v>32</v>
      </c>
      <c r="E544" s="70">
        <v>1</v>
      </c>
      <c r="F544" s="70">
        <v>0</v>
      </c>
      <c r="G544" s="129">
        <v>26</v>
      </c>
      <c r="H544" s="70" t="s">
        <v>0</v>
      </c>
    </row>
    <row r="545" spans="1:8">
      <c r="A545" s="70">
        <v>0</v>
      </c>
      <c r="B545" s="70">
        <v>1</v>
      </c>
      <c r="C545" s="70" t="s">
        <v>42</v>
      </c>
      <c r="D545" s="70">
        <v>50</v>
      </c>
      <c r="E545" s="70">
        <v>1</v>
      </c>
      <c r="F545" s="70">
        <v>0</v>
      </c>
      <c r="G545" s="129">
        <v>106.425</v>
      </c>
      <c r="H545" s="70" t="s">
        <v>1</v>
      </c>
    </row>
    <row r="546" spans="1:8">
      <c r="A546" s="70">
        <v>0</v>
      </c>
      <c r="B546" s="70">
        <v>1</v>
      </c>
      <c r="C546" s="70" t="s">
        <v>42</v>
      </c>
      <c r="D546" s="70">
        <v>64</v>
      </c>
      <c r="E546" s="70">
        <v>0</v>
      </c>
      <c r="F546" s="70">
        <v>0</v>
      </c>
      <c r="G546" s="129">
        <v>26</v>
      </c>
      <c r="H546" s="70" t="s">
        <v>0</v>
      </c>
    </row>
    <row r="547" spans="1:8">
      <c r="A547" s="70">
        <v>1</v>
      </c>
      <c r="B547" s="70">
        <v>2</v>
      </c>
      <c r="C547" s="70" t="s">
        <v>41</v>
      </c>
      <c r="D547" s="70">
        <v>19</v>
      </c>
      <c r="E547" s="70">
        <v>1</v>
      </c>
      <c r="F547" s="70">
        <v>0</v>
      </c>
      <c r="G547" s="129">
        <v>26</v>
      </c>
      <c r="H547" s="70" t="s">
        <v>0</v>
      </c>
    </row>
    <row r="548" spans="1:8">
      <c r="A548" s="70">
        <v>1</v>
      </c>
      <c r="B548" s="70">
        <v>2</v>
      </c>
      <c r="C548" s="70" t="s">
        <v>42</v>
      </c>
      <c r="D548" s="70">
        <v>29.7</v>
      </c>
      <c r="E548" s="70">
        <v>0</v>
      </c>
      <c r="F548" s="70">
        <v>0</v>
      </c>
      <c r="G548" s="129">
        <v>13.862500000000001</v>
      </c>
      <c r="H548" s="70" t="s">
        <v>1</v>
      </c>
    </row>
    <row r="549" spans="1:8">
      <c r="A549" s="70">
        <v>0</v>
      </c>
      <c r="B549" s="70">
        <v>3</v>
      </c>
      <c r="C549" s="70" t="s">
        <v>42</v>
      </c>
      <c r="D549" s="70">
        <v>33</v>
      </c>
      <c r="E549" s="70">
        <v>1</v>
      </c>
      <c r="F549" s="70">
        <v>1</v>
      </c>
      <c r="G549" s="129">
        <v>20.524999999999999</v>
      </c>
      <c r="H549" s="70" t="s">
        <v>0</v>
      </c>
    </row>
    <row r="550" spans="1:8">
      <c r="A550" s="70">
        <v>1</v>
      </c>
      <c r="B550" s="70">
        <v>2</v>
      </c>
      <c r="C550" s="70" t="s">
        <v>42</v>
      </c>
      <c r="D550" s="70">
        <v>8</v>
      </c>
      <c r="E550" s="70">
        <v>1</v>
      </c>
      <c r="F550" s="70">
        <v>1</v>
      </c>
      <c r="G550" s="129">
        <v>36.75</v>
      </c>
      <c r="H550" s="70" t="s">
        <v>0</v>
      </c>
    </row>
    <row r="551" spans="1:8">
      <c r="A551" s="70">
        <v>1</v>
      </c>
      <c r="B551" s="70">
        <v>1</v>
      </c>
      <c r="C551" s="70" t="s">
        <v>42</v>
      </c>
      <c r="D551" s="70">
        <v>17</v>
      </c>
      <c r="E551" s="70">
        <v>0</v>
      </c>
      <c r="F551" s="70">
        <v>2</v>
      </c>
      <c r="G551" s="129">
        <v>110.88330000000001</v>
      </c>
      <c r="H551" s="70" t="s">
        <v>1</v>
      </c>
    </row>
    <row r="552" spans="1:8">
      <c r="A552" s="70">
        <v>0</v>
      </c>
      <c r="B552" s="70">
        <v>2</v>
      </c>
      <c r="C552" s="70" t="s">
        <v>42</v>
      </c>
      <c r="D552" s="70">
        <v>27</v>
      </c>
      <c r="E552" s="70">
        <v>0</v>
      </c>
      <c r="F552" s="70">
        <v>0</v>
      </c>
      <c r="G552" s="129">
        <v>26</v>
      </c>
      <c r="H552" s="70" t="s">
        <v>0</v>
      </c>
    </row>
    <row r="553" spans="1:8">
      <c r="A553" s="70">
        <v>0</v>
      </c>
      <c r="B553" s="70">
        <v>3</v>
      </c>
      <c r="C553" s="70" t="s">
        <v>42</v>
      </c>
      <c r="D553" s="70">
        <v>29.7</v>
      </c>
      <c r="E553" s="70">
        <v>0</v>
      </c>
      <c r="F553" s="70">
        <v>0</v>
      </c>
      <c r="G553" s="129">
        <v>7.8292000000000002</v>
      </c>
      <c r="H553" s="70" t="s">
        <v>2</v>
      </c>
    </row>
    <row r="554" spans="1:8">
      <c r="A554" s="70">
        <v>1</v>
      </c>
      <c r="B554" s="70">
        <v>3</v>
      </c>
      <c r="C554" s="70" t="s">
        <v>42</v>
      </c>
      <c r="D554" s="70">
        <v>22</v>
      </c>
      <c r="E554" s="70">
        <v>0</v>
      </c>
      <c r="F554" s="70">
        <v>0</v>
      </c>
      <c r="G554" s="129">
        <v>7.2249999999999996</v>
      </c>
      <c r="H554" s="70" t="s">
        <v>1</v>
      </c>
    </row>
    <row r="555" spans="1:8">
      <c r="A555" s="70">
        <v>1</v>
      </c>
      <c r="B555" s="70">
        <v>3</v>
      </c>
      <c r="C555" s="70" t="s">
        <v>41</v>
      </c>
      <c r="D555" s="70">
        <v>22</v>
      </c>
      <c r="E555" s="70">
        <v>0</v>
      </c>
      <c r="F555" s="70">
        <v>0</v>
      </c>
      <c r="G555" s="129">
        <v>7.7750000000000004</v>
      </c>
      <c r="H555" s="70" t="s">
        <v>0</v>
      </c>
    </row>
    <row r="556" spans="1:8">
      <c r="A556" s="70">
        <v>0</v>
      </c>
      <c r="B556" s="70">
        <v>1</v>
      </c>
      <c r="C556" s="70" t="s">
        <v>42</v>
      </c>
      <c r="D556" s="70">
        <v>62</v>
      </c>
      <c r="E556" s="70">
        <v>0</v>
      </c>
      <c r="F556" s="70">
        <v>0</v>
      </c>
      <c r="G556" s="129">
        <v>26.55</v>
      </c>
      <c r="H556" s="70" t="s">
        <v>0</v>
      </c>
    </row>
    <row r="557" spans="1:8">
      <c r="A557" s="70">
        <v>1</v>
      </c>
      <c r="B557" s="70">
        <v>1</v>
      </c>
      <c r="C557" s="70" t="s">
        <v>41</v>
      </c>
      <c r="D557" s="70">
        <v>48</v>
      </c>
      <c r="E557" s="70">
        <v>1</v>
      </c>
      <c r="F557" s="70">
        <v>0</v>
      </c>
      <c r="G557" s="129">
        <v>39.6</v>
      </c>
      <c r="H557" s="70" t="s">
        <v>1</v>
      </c>
    </row>
    <row r="558" spans="1:8">
      <c r="A558" s="70">
        <v>0</v>
      </c>
      <c r="B558" s="70">
        <v>1</v>
      </c>
      <c r="C558" s="70" t="s">
        <v>42</v>
      </c>
      <c r="D558" s="70">
        <v>29.7</v>
      </c>
      <c r="E558" s="70">
        <v>0</v>
      </c>
      <c r="F558" s="70">
        <v>0</v>
      </c>
      <c r="G558" s="129">
        <v>227.52500000000001</v>
      </c>
      <c r="H558" s="70" t="s">
        <v>1</v>
      </c>
    </row>
    <row r="559" spans="1:8">
      <c r="A559" s="70">
        <v>1</v>
      </c>
      <c r="B559" s="70">
        <v>1</v>
      </c>
      <c r="C559" s="70" t="s">
        <v>41</v>
      </c>
      <c r="D559" s="70">
        <v>39</v>
      </c>
      <c r="E559" s="70">
        <v>1</v>
      </c>
      <c r="F559" s="70">
        <v>1</v>
      </c>
      <c r="G559" s="129">
        <v>79.650000000000006</v>
      </c>
      <c r="H559" s="70" t="s">
        <v>0</v>
      </c>
    </row>
    <row r="560" spans="1:8">
      <c r="A560" s="70">
        <v>1</v>
      </c>
      <c r="B560" s="70">
        <v>3</v>
      </c>
      <c r="C560" s="70" t="s">
        <v>41</v>
      </c>
      <c r="D560" s="70">
        <v>36</v>
      </c>
      <c r="E560" s="70">
        <v>1</v>
      </c>
      <c r="F560" s="70">
        <v>0</v>
      </c>
      <c r="G560" s="129">
        <v>17.399999999999999</v>
      </c>
      <c r="H560" s="70" t="s">
        <v>0</v>
      </c>
    </row>
    <row r="561" spans="1:8">
      <c r="A561" s="70">
        <v>0</v>
      </c>
      <c r="B561" s="70">
        <v>3</v>
      </c>
      <c r="C561" s="70" t="s">
        <v>42</v>
      </c>
      <c r="D561" s="70">
        <v>29.7</v>
      </c>
      <c r="E561" s="70">
        <v>0</v>
      </c>
      <c r="F561" s="70">
        <v>0</v>
      </c>
      <c r="G561" s="129">
        <v>7.75</v>
      </c>
      <c r="H561" s="70" t="s">
        <v>2</v>
      </c>
    </row>
    <row r="562" spans="1:8">
      <c r="A562" s="70">
        <v>0</v>
      </c>
      <c r="B562" s="70">
        <v>3</v>
      </c>
      <c r="C562" s="70" t="s">
        <v>42</v>
      </c>
      <c r="D562" s="70">
        <v>40</v>
      </c>
      <c r="E562" s="70">
        <v>0</v>
      </c>
      <c r="F562" s="70">
        <v>0</v>
      </c>
      <c r="G562" s="129">
        <v>7.8958000000000004</v>
      </c>
      <c r="H562" s="70" t="s">
        <v>0</v>
      </c>
    </row>
    <row r="563" spans="1:8">
      <c r="A563" s="70">
        <v>0</v>
      </c>
      <c r="B563" s="70">
        <v>2</v>
      </c>
      <c r="C563" s="70" t="s">
        <v>42</v>
      </c>
      <c r="D563" s="70">
        <v>28</v>
      </c>
      <c r="E563" s="70">
        <v>0</v>
      </c>
      <c r="F563" s="70">
        <v>0</v>
      </c>
      <c r="G563" s="129">
        <v>13.5</v>
      </c>
      <c r="H563" s="70" t="s">
        <v>0</v>
      </c>
    </row>
    <row r="564" spans="1:8">
      <c r="A564" s="70">
        <v>0</v>
      </c>
      <c r="B564" s="70">
        <v>3</v>
      </c>
      <c r="C564" s="70" t="s">
        <v>42</v>
      </c>
      <c r="D564" s="70">
        <v>29.7</v>
      </c>
      <c r="E564" s="70">
        <v>0</v>
      </c>
      <c r="F564" s="70">
        <v>0</v>
      </c>
      <c r="G564" s="129">
        <v>8.0500000000000007</v>
      </c>
      <c r="H564" s="70" t="s">
        <v>0</v>
      </c>
    </row>
    <row r="565" spans="1:8">
      <c r="A565" s="70">
        <v>0</v>
      </c>
      <c r="B565" s="70">
        <v>3</v>
      </c>
      <c r="C565" s="70" t="s">
        <v>41</v>
      </c>
      <c r="D565" s="70">
        <v>29.7</v>
      </c>
      <c r="E565" s="70">
        <v>0</v>
      </c>
      <c r="F565" s="70">
        <v>0</v>
      </c>
      <c r="G565" s="129">
        <v>8.0500000000000007</v>
      </c>
      <c r="H565" s="70" t="s">
        <v>0</v>
      </c>
    </row>
    <row r="566" spans="1:8">
      <c r="A566" s="70">
        <v>0</v>
      </c>
      <c r="B566" s="70">
        <v>3</v>
      </c>
      <c r="C566" s="70" t="s">
        <v>42</v>
      </c>
      <c r="D566" s="70">
        <v>24</v>
      </c>
      <c r="E566" s="70">
        <v>2</v>
      </c>
      <c r="F566" s="70">
        <v>0</v>
      </c>
      <c r="G566" s="129">
        <v>24.15</v>
      </c>
      <c r="H566" s="70" t="s">
        <v>0</v>
      </c>
    </row>
    <row r="567" spans="1:8">
      <c r="A567" s="70">
        <v>0</v>
      </c>
      <c r="B567" s="70">
        <v>3</v>
      </c>
      <c r="C567" s="70" t="s">
        <v>42</v>
      </c>
      <c r="D567" s="70">
        <v>19</v>
      </c>
      <c r="E567" s="70">
        <v>0</v>
      </c>
      <c r="F567" s="70">
        <v>0</v>
      </c>
      <c r="G567" s="129">
        <v>7.8958000000000004</v>
      </c>
      <c r="H567" s="70" t="s">
        <v>0</v>
      </c>
    </row>
    <row r="568" spans="1:8">
      <c r="A568" s="70">
        <v>0</v>
      </c>
      <c r="B568" s="70">
        <v>3</v>
      </c>
      <c r="C568" s="70" t="s">
        <v>41</v>
      </c>
      <c r="D568" s="70">
        <v>29</v>
      </c>
      <c r="E568" s="70">
        <v>0</v>
      </c>
      <c r="F568" s="70">
        <v>4</v>
      </c>
      <c r="G568" s="129">
        <v>21.074999999999999</v>
      </c>
      <c r="H568" s="70" t="s">
        <v>0</v>
      </c>
    </row>
    <row r="569" spans="1:8">
      <c r="A569" s="70">
        <v>0</v>
      </c>
      <c r="B569" s="70">
        <v>3</v>
      </c>
      <c r="C569" s="70" t="s">
        <v>42</v>
      </c>
      <c r="D569" s="70">
        <v>29.7</v>
      </c>
      <c r="E569" s="70">
        <v>0</v>
      </c>
      <c r="F569" s="70">
        <v>0</v>
      </c>
      <c r="G569" s="129">
        <v>7.2291999999999996</v>
      </c>
      <c r="H569" s="70" t="s">
        <v>1</v>
      </c>
    </row>
    <row r="570" spans="1:8">
      <c r="A570" s="70">
        <v>1</v>
      </c>
      <c r="B570" s="70">
        <v>3</v>
      </c>
      <c r="C570" s="70" t="s">
        <v>42</v>
      </c>
      <c r="D570" s="70">
        <v>32</v>
      </c>
      <c r="E570" s="70">
        <v>0</v>
      </c>
      <c r="F570" s="70">
        <v>0</v>
      </c>
      <c r="G570" s="129">
        <v>7.8541999999999996</v>
      </c>
      <c r="H570" s="70" t="s">
        <v>0</v>
      </c>
    </row>
    <row r="571" spans="1:8">
      <c r="A571" s="70">
        <v>1</v>
      </c>
      <c r="B571" s="70">
        <v>2</v>
      </c>
      <c r="C571" s="70" t="s">
        <v>42</v>
      </c>
      <c r="D571" s="70">
        <v>62</v>
      </c>
      <c r="E571" s="70">
        <v>0</v>
      </c>
      <c r="F571" s="70">
        <v>0</v>
      </c>
      <c r="G571" s="129">
        <v>10.5</v>
      </c>
      <c r="H571" s="70" t="s">
        <v>0</v>
      </c>
    </row>
    <row r="572" spans="1:8">
      <c r="A572" s="70">
        <v>1</v>
      </c>
      <c r="B572" s="70">
        <v>1</v>
      </c>
      <c r="C572" s="70" t="s">
        <v>41</v>
      </c>
      <c r="D572" s="70">
        <v>53</v>
      </c>
      <c r="E572" s="70">
        <v>2</v>
      </c>
      <c r="F572" s="70">
        <v>0</v>
      </c>
      <c r="G572" s="129">
        <v>51.479199999999999</v>
      </c>
      <c r="H572" s="70" t="s">
        <v>0</v>
      </c>
    </row>
    <row r="573" spans="1:8">
      <c r="A573" s="70">
        <v>1</v>
      </c>
      <c r="B573" s="70">
        <v>1</v>
      </c>
      <c r="C573" s="70" t="s">
        <v>42</v>
      </c>
      <c r="D573" s="70">
        <v>36</v>
      </c>
      <c r="E573" s="70">
        <v>0</v>
      </c>
      <c r="F573" s="70">
        <v>0</v>
      </c>
      <c r="G573" s="129">
        <v>26.387499999999999</v>
      </c>
      <c r="H573" s="70" t="s">
        <v>0</v>
      </c>
    </row>
    <row r="574" spans="1:8">
      <c r="A574" s="70">
        <v>1</v>
      </c>
      <c r="B574" s="70">
        <v>3</v>
      </c>
      <c r="C574" s="70" t="s">
        <v>41</v>
      </c>
      <c r="D574" s="70">
        <v>29.7</v>
      </c>
      <c r="E574" s="70">
        <v>0</v>
      </c>
      <c r="F574" s="70">
        <v>0</v>
      </c>
      <c r="G574" s="129">
        <v>7.75</v>
      </c>
      <c r="H574" s="70" t="s">
        <v>2</v>
      </c>
    </row>
    <row r="575" spans="1:8">
      <c r="A575" s="70">
        <v>0</v>
      </c>
      <c r="B575" s="70">
        <v>3</v>
      </c>
      <c r="C575" s="70" t="s">
        <v>42</v>
      </c>
      <c r="D575" s="70">
        <v>16</v>
      </c>
      <c r="E575" s="70">
        <v>0</v>
      </c>
      <c r="F575" s="70">
        <v>0</v>
      </c>
      <c r="G575" s="129">
        <v>8.0500000000000007</v>
      </c>
      <c r="H575" s="70" t="s">
        <v>0</v>
      </c>
    </row>
    <row r="576" spans="1:8">
      <c r="A576" s="70">
        <v>0</v>
      </c>
      <c r="B576" s="70">
        <v>3</v>
      </c>
      <c r="C576" s="70" t="s">
        <v>42</v>
      </c>
      <c r="D576" s="70">
        <v>19</v>
      </c>
      <c r="E576" s="70">
        <v>0</v>
      </c>
      <c r="F576" s="70">
        <v>0</v>
      </c>
      <c r="G576" s="129">
        <v>14.5</v>
      </c>
      <c r="H576" s="70" t="s">
        <v>0</v>
      </c>
    </row>
    <row r="577" spans="1:8">
      <c r="A577" s="70">
        <v>1</v>
      </c>
      <c r="B577" s="70">
        <v>2</v>
      </c>
      <c r="C577" s="70" t="s">
        <v>41</v>
      </c>
      <c r="D577" s="70">
        <v>34</v>
      </c>
      <c r="E577" s="70">
        <v>0</v>
      </c>
      <c r="F577" s="70">
        <v>0</v>
      </c>
      <c r="G577" s="129">
        <v>13</v>
      </c>
      <c r="H577" s="70" t="s">
        <v>0</v>
      </c>
    </row>
    <row r="578" spans="1:8">
      <c r="A578" s="70">
        <v>1</v>
      </c>
      <c r="B578" s="70">
        <v>1</v>
      </c>
      <c r="C578" s="70" t="s">
        <v>41</v>
      </c>
      <c r="D578" s="70">
        <v>39</v>
      </c>
      <c r="E578" s="70">
        <v>1</v>
      </c>
      <c r="F578" s="70">
        <v>0</v>
      </c>
      <c r="G578" s="129">
        <v>55.9</v>
      </c>
      <c r="H578" s="70" t="s">
        <v>0</v>
      </c>
    </row>
    <row r="579" spans="1:8">
      <c r="A579" s="70">
        <v>0</v>
      </c>
      <c r="B579" s="70">
        <v>3</v>
      </c>
      <c r="C579" s="70" t="s">
        <v>41</v>
      </c>
      <c r="D579" s="70">
        <v>29.7</v>
      </c>
      <c r="E579" s="70">
        <v>1</v>
      </c>
      <c r="F579" s="70">
        <v>0</v>
      </c>
      <c r="G579" s="129">
        <v>14.458299999999999</v>
      </c>
      <c r="H579" s="70" t="s">
        <v>1</v>
      </c>
    </row>
    <row r="580" spans="1:8">
      <c r="A580" s="70">
        <v>1</v>
      </c>
      <c r="B580" s="70">
        <v>3</v>
      </c>
      <c r="C580" s="70" t="s">
        <v>42</v>
      </c>
      <c r="D580" s="70">
        <v>32</v>
      </c>
      <c r="E580" s="70">
        <v>0</v>
      </c>
      <c r="F580" s="70">
        <v>0</v>
      </c>
      <c r="G580" s="129">
        <v>7.9249999999999998</v>
      </c>
      <c r="H580" s="70" t="s">
        <v>0</v>
      </c>
    </row>
    <row r="581" spans="1:8">
      <c r="A581" s="70">
        <v>1</v>
      </c>
      <c r="B581" s="70">
        <v>2</v>
      </c>
      <c r="C581" s="70" t="s">
        <v>41</v>
      </c>
      <c r="D581" s="70">
        <v>25</v>
      </c>
      <c r="E581" s="70">
        <v>1</v>
      </c>
      <c r="F581" s="70">
        <v>1</v>
      </c>
      <c r="G581" s="129">
        <v>30</v>
      </c>
      <c r="H581" s="70" t="s">
        <v>0</v>
      </c>
    </row>
    <row r="582" spans="1:8">
      <c r="A582" s="70">
        <v>1</v>
      </c>
      <c r="B582" s="70">
        <v>1</v>
      </c>
      <c r="C582" s="70" t="s">
        <v>41</v>
      </c>
      <c r="D582" s="70">
        <v>39</v>
      </c>
      <c r="E582" s="70">
        <v>1</v>
      </c>
      <c r="F582" s="70">
        <v>1</v>
      </c>
      <c r="G582" s="129">
        <v>110.88330000000001</v>
      </c>
      <c r="H582" s="70" t="s">
        <v>1</v>
      </c>
    </row>
    <row r="583" spans="1:8">
      <c r="A583" s="70">
        <v>0</v>
      </c>
      <c r="B583" s="70">
        <v>2</v>
      </c>
      <c r="C583" s="70" t="s">
        <v>42</v>
      </c>
      <c r="D583" s="70">
        <v>54</v>
      </c>
      <c r="E583" s="70">
        <v>0</v>
      </c>
      <c r="F583" s="70">
        <v>0</v>
      </c>
      <c r="G583" s="129">
        <v>26</v>
      </c>
      <c r="H583" s="70" t="s">
        <v>0</v>
      </c>
    </row>
    <row r="584" spans="1:8">
      <c r="A584" s="70">
        <v>0</v>
      </c>
      <c r="B584" s="70">
        <v>1</v>
      </c>
      <c r="C584" s="70" t="s">
        <v>42</v>
      </c>
      <c r="D584" s="70">
        <v>36</v>
      </c>
      <c r="E584" s="70">
        <v>0</v>
      </c>
      <c r="F584" s="70">
        <v>0</v>
      </c>
      <c r="G584" s="129">
        <v>40.125</v>
      </c>
      <c r="H584" s="70" t="s">
        <v>1</v>
      </c>
    </row>
    <row r="585" spans="1:8">
      <c r="A585" s="70">
        <v>0</v>
      </c>
      <c r="B585" s="70">
        <v>3</v>
      </c>
      <c r="C585" s="70" t="s">
        <v>42</v>
      </c>
      <c r="D585" s="70">
        <v>29.7</v>
      </c>
      <c r="E585" s="70">
        <v>0</v>
      </c>
      <c r="F585" s="70">
        <v>0</v>
      </c>
      <c r="G585" s="129">
        <v>8.7125000000000004</v>
      </c>
      <c r="H585" s="70" t="s">
        <v>1</v>
      </c>
    </row>
    <row r="586" spans="1:8">
      <c r="A586" s="70">
        <v>1</v>
      </c>
      <c r="B586" s="70">
        <v>1</v>
      </c>
      <c r="C586" s="70" t="s">
        <v>41</v>
      </c>
      <c r="D586" s="70">
        <v>18</v>
      </c>
      <c r="E586" s="70">
        <v>0</v>
      </c>
      <c r="F586" s="70">
        <v>2</v>
      </c>
      <c r="G586" s="129">
        <v>79.650000000000006</v>
      </c>
      <c r="H586" s="70" t="s">
        <v>0</v>
      </c>
    </row>
    <row r="587" spans="1:8">
      <c r="A587" s="70">
        <v>0</v>
      </c>
      <c r="B587" s="70">
        <v>2</v>
      </c>
      <c r="C587" s="70" t="s">
        <v>42</v>
      </c>
      <c r="D587" s="70">
        <v>47</v>
      </c>
      <c r="E587" s="70">
        <v>0</v>
      </c>
      <c r="F587" s="70">
        <v>0</v>
      </c>
      <c r="G587" s="129">
        <v>15</v>
      </c>
      <c r="H587" s="70" t="s">
        <v>0</v>
      </c>
    </row>
    <row r="588" spans="1:8">
      <c r="A588" s="70">
        <v>1</v>
      </c>
      <c r="B588" s="70">
        <v>1</v>
      </c>
      <c r="C588" s="70" t="s">
        <v>42</v>
      </c>
      <c r="D588" s="70">
        <v>60</v>
      </c>
      <c r="E588" s="70">
        <v>1</v>
      </c>
      <c r="F588" s="70">
        <v>1</v>
      </c>
      <c r="G588" s="129">
        <v>79.2</v>
      </c>
      <c r="H588" s="70" t="s">
        <v>1</v>
      </c>
    </row>
    <row r="589" spans="1:8">
      <c r="A589" s="70">
        <v>0</v>
      </c>
      <c r="B589" s="70">
        <v>3</v>
      </c>
      <c r="C589" s="70" t="s">
        <v>42</v>
      </c>
      <c r="D589" s="70">
        <v>22</v>
      </c>
      <c r="E589" s="70">
        <v>0</v>
      </c>
      <c r="F589" s="70">
        <v>0</v>
      </c>
      <c r="G589" s="129">
        <v>8.0500000000000007</v>
      </c>
      <c r="H589" s="70" t="s">
        <v>0</v>
      </c>
    </row>
    <row r="590" spans="1:8">
      <c r="A590" s="70">
        <v>0</v>
      </c>
      <c r="B590" s="70">
        <v>3</v>
      </c>
      <c r="C590" s="70" t="s">
        <v>42</v>
      </c>
      <c r="D590" s="70">
        <v>29.7</v>
      </c>
      <c r="E590" s="70">
        <v>0</v>
      </c>
      <c r="F590" s="70">
        <v>0</v>
      </c>
      <c r="G590" s="129">
        <v>8.0500000000000007</v>
      </c>
      <c r="H590" s="70" t="s">
        <v>0</v>
      </c>
    </row>
    <row r="591" spans="1:8">
      <c r="A591" s="70">
        <v>0</v>
      </c>
      <c r="B591" s="70">
        <v>3</v>
      </c>
      <c r="C591" s="70" t="s">
        <v>42</v>
      </c>
      <c r="D591" s="70">
        <v>35</v>
      </c>
      <c r="E591" s="70">
        <v>0</v>
      </c>
      <c r="F591" s="70">
        <v>0</v>
      </c>
      <c r="G591" s="129">
        <v>7.125</v>
      </c>
      <c r="H591" s="70" t="s">
        <v>0</v>
      </c>
    </row>
    <row r="592" spans="1:8">
      <c r="A592" s="70">
        <v>1</v>
      </c>
      <c r="B592" s="70">
        <v>1</v>
      </c>
      <c r="C592" s="70" t="s">
        <v>41</v>
      </c>
      <c r="D592" s="70">
        <v>52</v>
      </c>
      <c r="E592" s="70">
        <v>1</v>
      </c>
      <c r="F592" s="70">
        <v>0</v>
      </c>
      <c r="G592" s="129">
        <v>78.2667</v>
      </c>
      <c r="H592" s="70" t="s">
        <v>1</v>
      </c>
    </row>
    <row r="593" spans="1:8">
      <c r="A593" s="70">
        <v>0</v>
      </c>
      <c r="B593" s="70">
        <v>3</v>
      </c>
      <c r="C593" s="70" t="s">
        <v>42</v>
      </c>
      <c r="D593" s="70">
        <v>47</v>
      </c>
      <c r="E593" s="70">
        <v>0</v>
      </c>
      <c r="F593" s="70">
        <v>0</v>
      </c>
      <c r="G593" s="129">
        <v>7.25</v>
      </c>
      <c r="H593" s="70" t="s">
        <v>0</v>
      </c>
    </row>
    <row r="594" spans="1:8">
      <c r="A594" s="70">
        <v>0</v>
      </c>
      <c r="B594" s="70">
        <v>3</v>
      </c>
      <c r="C594" s="70" t="s">
        <v>41</v>
      </c>
      <c r="D594" s="70">
        <v>29.7</v>
      </c>
      <c r="E594" s="70">
        <v>0</v>
      </c>
      <c r="F594" s="70">
        <v>2</v>
      </c>
      <c r="G594" s="129">
        <v>7.75</v>
      </c>
      <c r="H594" s="70" t="s">
        <v>2</v>
      </c>
    </row>
    <row r="595" spans="1:8">
      <c r="A595" s="70">
        <v>0</v>
      </c>
      <c r="B595" s="70">
        <v>2</v>
      </c>
      <c r="C595" s="70" t="s">
        <v>42</v>
      </c>
      <c r="D595" s="70">
        <v>37</v>
      </c>
      <c r="E595" s="70">
        <v>1</v>
      </c>
      <c r="F595" s="70">
        <v>0</v>
      </c>
      <c r="G595" s="129">
        <v>26</v>
      </c>
      <c r="H595" s="70" t="s">
        <v>0</v>
      </c>
    </row>
    <row r="596" spans="1:8">
      <c r="A596" s="70">
        <v>0</v>
      </c>
      <c r="B596" s="70">
        <v>3</v>
      </c>
      <c r="C596" s="70" t="s">
        <v>42</v>
      </c>
      <c r="D596" s="70">
        <v>36</v>
      </c>
      <c r="E596" s="70">
        <v>1</v>
      </c>
      <c r="F596" s="70">
        <v>1</v>
      </c>
      <c r="G596" s="129">
        <v>24.15</v>
      </c>
      <c r="H596" s="70" t="s">
        <v>0</v>
      </c>
    </row>
    <row r="597" spans="1:8">
      <c r="A597" s="70">
        <v>1</v>
      </c>
      <c r="B597" s="70">
        <v>2</v>
      </c>
      <c r="C597" s="70" t="s">
        <v>41</v>
      </c>
      <c r="D597" s="70">
        <v>29.7</v>
      </c>
      <c r="E597" s="70">
        <v>0</v>
      </c>
      <c r="F597" s="70">
        <v>0</v>
      </c>
      <c r="G597" s="129">
        <v>33</v>
      </c>
      <c r="H597" s="70" t="s">
        <v>0</v>
      </c>
    </row>
    <row r="598" spans="1:8">
      <c r="A598" s="70">
        <v>0</v>
      </c>
      <c r="B598" s="70">
        <v>3</v>
      </c>
      <c r="C598" s="70" t="s">
        <v>42</v>
      </c>
      <c r="D598" s="70">
        <v>49</v>
      </c>
      <c r="E598" s="70">
        <v>0</v>
      </c>
      <c r="F598" s="70">
        <v>0</v>
      </c>
      <c r="G598" s="129">
        <v>0</v>
      </c>
      <c r="H598" s="70" t="s">
        <v>0</v>
      </c>
    </row>
    <row r="599" spans="1:8">
      <c r="A599" s="70">
        <v>0</v>
      </c>
      <c r="B599" s="70">
        <v>3</v>
      </c>
      <c r="C599" s="70" t="s">
        <v>42</v>
      </c>
      <c r="D599" s="70">
        <v>29.7</v>
      </c>
      <c r="E599" s="70">
        <v>0</v>
      </c>
      <c r="F599" s="70">
        <v>0</v>
      </c>
      <c r="G599" s="129">
        <v>7.2249999999999996</v>
      </c>
      <c r="H599" s="70" t="s">
        <v>1</v>
      </c>
    </row>
    <row r="600" spans="1:8">
      <c r="A600" s="70">
        <v>1</v>
      </c>
      <c r="B600" s="70">
        <v>1</v>
      </c>
      <c r="C600" s="70" t="s">
        <v>42</v>
      </c>
      <c r="D600" s="70">
        <v>49</v>
      </c>
      <c r="E600" s="70">
        <v>1</v>
      </c>
      <c r="F600" s="70">
        <v>0</v>
      </c>
      <c r="G600" s="129">
        <v>56.929200000000002</v>
      </c>
      <c r="H600" s="70" t="s">
        <v>1</v>
      </c>
    </row>
    <row r="601" spans="1:8">
      <c r="A601" s="70">
        <v>1</v>
      </c>
      <c r="B601" s="70">
        <v>2</v>
      </c>
      <c r="C601" s="70" t="s">
        <v>41</v>
      </c>
      <c r="D601" s="70">
        <v>24</v>
      </c>
      <c r="E601" s="70">
        <v>2</v>
      </c>
      <c r="F601" s="70">
        <v>1</v>
      </c>
      <c r="G601" s="129">
        <v>27</v>
      </c>
      <c r="H601" s="70" t="s">
        <v>0</v>
      </c>
    </row>
    <row r="602" spans="1:8">
      <c r="A602" s="70">
        <v>0</v>
      </c>
      <c r="B602" s="70">
        <v>3</v>
      </c>
      <c r="C602" s="70" t="s">
        <v>42</v>
      </c>
      <c r="D602" s="70">
        <v>29.7</v>
      </c>
      <c r="E602" s="70">
        <v>0</v>
      </c>
      <c r="F602" s="70">
        <v>0</v>
      </c>
      <c r="G602" s="129">
        <v>7.8958000000000004</v>
      </c>
      <c r="H602" s="70" t="s">
        <v>0</v>
      </c>
    </row>
    <row r="603" spans="1:8">
      <c r="A603" s="70">
        <v>0</v>
      </c>
      <c r="B603" s="70">
        <v>1</v>
      </c>
      <c r="C603" s="70" t="s">
        <v>42</v>
      </c>
      <c r="D603" s="70">
        <v>29.7</v>
      </c>
      <c r="E603" s="70">
        <v>0</v>
      </c>
      <c r="F603" s="70">
        <v>0</v>
      </c>
      <c r="G603" s="129">
        <v>42.4</v>
      </c>
      <c r="H603" s="70" t="s">
        <v>0</v>
      </c>
    </row>
    <row r="604" spans="1:8">
      <c r="A604" s="70">
        <v>0</v>
      </c>
      <c r="B604" s="70">
        <v>3</v>
      </c>
      <c r="C604" s="70" t="s">
        <v>42</v>
      </c>
      <c r="D604" s="70">
        <v>44</v>
      </c>
      <c r="E604" s="70">
        <v>0</v>
      </c>
      <c r="F604" s="70">
        <v>0</v>
      </c>
      <c r="G604" s="129">
        <v>8.0500000000000007</v>
      </c>
      <c r="H604" s="70" t="s">
        <v>0</v>
      </c>
    </row>
    <row r="605" spans="1:8">
      <c r="A605" s="70">
        <v>1</v>
      </c>
      <c r="B605" s="70">
        <v>1</v>
      </c>
      <c r="C605" s="70" t="s">
        <v>42</v>
      </c>
      <c r="D605" s="70">
        <v>35</v>
      </c>
      <c r="E605" s="70">
        <v>0</v>
      </c>
      <c r="F605" s="70">
        <v>0</v>
      </c>
      <c r="G605" s="129">
        <v>26.55</v>
      </c>
      <c r="H605" s="70" t="s">
        <v>1</v>
      </c>
    </row>
    <row r="606" spans="1:8">
      <c r="A606" s="70">
        <v>0</v>
      </c>
      <c r="B606" s="70">
        <v>3</v>
      </c>
      <c r="C606" s="70" t="s">
        <v>42</v>
      </c>
      <c r="D606" s="70">
        <v>36</v>
      </c>
      <c r="E606" s="70">
        <v>1</v>
      </c>
      <c r="F606" s="70">
        <v>0</v>
      </c>
      <c r="G606" s="129">
        <v>15.55</v>
      </c>
      <c r="H606" s="70" t="s">
        <v>0</v>
      </c>
    </row>
    <row r="607" spans="1:8">
      <c r="A607" s="70">
        <v>0</v>
      </c>
      <c r="B607" s="70">
        <v>3</v>
      </c>
      <c r="C607" s="70" t="s">
        <v>42</v>
      </c>
      <c r="D607" s="70">
        <v>30</v>
      </c>
      <c r="E607" s="70">
        <v>0</v>
      </c>
      <c r="F607" s="70">
        <v>0</v>
      </c>
      <c r="G607" s="129">
        <v>7.8958000000000004</v>
      </c>
      <c r="H607" s="70" t="s">
        <v>0</v>
      </c>
    </row>
    <row r="608" spans="1:8">
      <c r="A608" s="70">
        <v>1</v>
      </c>
      <c r="B608" s="70">
        <v>1</v>
      </c>
      <c r="C608" s="70" t="s">
        <v>42</v>
      </c>
      <c r="D608" s="70">
        <v>27</v>
      </c>
      <c r="E608" s="70">
        <v>0</v>
      </c>
      <c r="F608" s="70">
        <v>0</v>
      </c>
      <c r="G608" s="129">
        <v>30.5</v>
      </c>
      <c r="H608" s="70" t="s">
        <v>0</v>
      </c>
    </row>
    <row r="609" spans="1:8">
      <c r="A609" s="70">
        <v>1</v>
      </c>
      <c r="B609" s="70">
        <v>2</v>
      </c>
      <c r="C609" s="70" t="s">
        <v>41</v>
      </c>
      <c r="D609" s="70">
        <v>22</v>
      </c>
      <c r="E609" s="70">
        <v>1</v>
      </c>
      <c r="F609" s="70">
        <v>2</v>
      </c>
      <c r="G609" s="129">
        <v>41.5792</v>
      </c>
      <c r="H609" s="70" t="s">
        <v>1</v>
      </c>
    </row>
    <row r="610" spans="1:8">
      <c r="A610" s="70">
        <v>1</v>
      </c>
      <c r="B610" s="70">
        <v>1</v>
      </c>
      <c r="C610" s="70" t="s">
        <v>41</v>
      </c>
      <c r="D610" s="70">
        <v>40</v>
      </c>
      <c r="E610" s="70">
        <v>0</v>
      </c>
      <c r="F610" s="70">
        <v>0</v>
      </c>
      <c r="G610" s="129">
        <v>153.46250000000001</v>
      </c>
      <c r="H610" s="70" t="s">
        <v>0</v>
      </c>
    </row>
    <row r="611" spans="1:8">
      <c r="A611" s="70">
        <v>0</v>
      </c>
      <c r="B611" s="70">
        <v>3</v>
      </c>
      <c r="C611" s="70" t="s">
        <v>41</v>
      </c>
      <c r="D611" s="70">
        <v>39</v>
      </c>
      <c r="E611" s="70">
        <v>1</v>
      </c>
      <c r="F611" s="70">
        <v>5</v>
      </c>
      <c r="G611" s="129">
        <v>31.274999999999999</v>
      </c>
      <c r="H611" s="70" t="s">
        <v>0</v>
      </c>
    </row>
    <row r="612" spans="1:8">
      <c r="A612" s="70">
        <v>0</v>
      </c>
      <c r="B612" s="70">
        <v>3</v>
      </c>
      <c r="C612" s="70" t="s">
        <v>42</v>
      </c>
      <c r="D612" s="70">
        <v>29.7</v>
      </c>
      <c r="E612" s="70">
        <v>0</v>
      </c>
      <c r="F612" s="70">
        <v>0</v>
      </c>
      <c r="G612" s="129">
        <v>7.05</v>
      </c>
      <c r="H612" s="70" t="s">
        <v>0</v>
      </c>
    </row>
    <row r="613" spans="1:8">
      <c r="A613" s="70">
        <v>1</v>
      </c>
      <c r="B613" s="70">
        <v>3</v>
      </c>
      <c r="C613" s="70" t="s">
        <v>41</v>
      </c>
      <c r="D613" s="70">
        <v>29.7</v>
      </c>
      <c r="E613" s="70">
        <v>1</v>
      </c>
      <c r="F613" s="70">
        <v>0</v>
      </c>
      <c r="G613" s="129">
        <v>15.5</v>
      </c>
      <c r="H613" s="70" t="s">
        <v>2</v>
      </c>
    </row>
    <row r="614" spans="1:8">
      <c r="A614" s="70">
        <v>0</v>
      </c>
      <c r="B614" s="70">
        <v>3</v>
      </c>
      <c r="C614" s="70" t="s">
        <v>42</v>
      </c>
      <c r="D614" s="70">
        <v>29.7</v>
      </c>
      <c r="E614" s="70">
        <v>0</v>
      </c>
      <c r="F614" s="70">
        <v>0</v>
      </c>
      <c r="G614" s="129">
        <v>7.75</v>
      </c>
      <c r="H614" s="70" t="s">
        <v>2</v>
      </c>
    </row>
    <row r="615" spans="1:8">
      <c r="A615" s="70">
        <v>0</v>
      </c>
      <c r="B615" s="70">
        <v>3</v>
      </c>
      <c r="C615" s="70" t="s">
        <v>42</v>
      </c>
      <c r="D615" s="70">
        <v>35</v>
      </c>
      <c r="E615" s="70">
        <v>0</v>
      </c>
      <c r="F615" s="70">
        <v>0</v>
      </c>
      <c r="G615" s="129">
        <v>8.0500000000000007</v>
      </c>
      <c r="H615" s="70" t="s">
        <v>0</v>
      </c>
    </row>
    <row r="616" spans="1:8">
      <c r="A616" s="70">
        <v>1</v>
      </c>
      <c r="B616" s="70">
        <v>2</v>
      </c>
      <c r="C616" s="70" t="s">
        <v>41</v>
      </c>
      <c r="D616" s="70">
        <v>24</v>
      </c>
      <c r="E616" s="70">
        <v>1</v>
      </c>
      <c r="F616" s="70">
        <v>2</v>
      </c>
      <c r="G616" s="129">
        <v>65</v>
      </c>
      <c r="H616" s="70" t="s">
        <v>0</v>
      </c>
    </row>
    <row r="617" spans="1:8">
      <c r="A617" s="70">
        <v>0</v>
      </c>
      <c r="B617" s="70">
        <v>3</v>
      </c>
      <c r="C617" s="70" t="s">
        <v>42</v>
      </c>
      <c r="D617" s="70">
        <v>34</v>
      </c>
      <c r="E617" s="70">
        <v>1</v>
      </c>
      <c r="F617" s="70">
        <v>1</v>
      </c>
      <c r="G617" s="129">
        <v>14.4</v>
      </c>
      <c r="H617" s="70" t="s">
        <v>0</v>
      </c>
    </row>
    <row r="618" spans="1:8">
      <c r="A618" s="70">
        <v>0</v>
      </c>
      <c r="B618" s="70">
        <v>3</v>
      </c>
      <c r="C618" s="70" t="s">
        <v>41</v>
      </c>
      <c r="D618" s="70">
        <v>26</v>
      </c>
      <c r="E618" s="70">
        <v>1</v>
      </c>
      <c r="F618" s="70">
        <v>0</v>
      </c>
      <c r="G618" s="129">
        <v>16.100000000000001</v>
      </c>
      <c r="H618" s="70" t="s">
        <v>0</v>
      </c>
    </row>
    <row r="619" spans="1:8">
      <c r="A619" s="70">
        <v>1</v>
      </c>
      <c r="B619" s="70">
        <v>2</v>
      </c>
      <c r="C619" s="70" t="s">
        <v>41</v>
      </c>
      <c r="D619" s="70">
        <v>4</v>
      </c>
      <c r="E619" s="70">
        <v>2</v>
      </c>
      <c r="F619" s="70">
        <v>1</v>
      </c>
      <c r="G619" s="129">
        <v>39</v>
      </c>
      <c r="H619" s="70" t="s">
        <v>0</v>
      </c>
    </row>
    <row r="620" spans="1:8">
      <c r="A620" s="70">
        <v>0</v>
      </c>
      <c r="B620" s="70">
        <v>2</v>
      </c>
      <c r="C620" s="70" t="s">
        <v>42</v>
      </c>
      <c r="D620" s="70">
        <v>26</v>
      </c>
      <c r="E620" s="70">
        <v>0</v>
      </c>
      <c r="F620" s="70">
        <v>0</v>
      </c>
      <c r="G620" s="129">
        <v>10.5</v>
      </c>
      <c r="H620" s="70" t="s">
        <v>0</v>
      </c>
    </row>
    <row r="621" spans="1:8">
      <c r="A621" s="70">
        <v>0</v>
      </c>
      <c r="B621" s="70">
        <v>3</v>
      </c>
      <c r="C621" s="70" t="s">
        <v>42</v>
      </c>
      <c r="D621" s="70">
        <v>27</v>
      </c>
      <c r="E621" s="70">
        <v>1</v>
      </c>
      <c r="F621" s="70">
        <v>0</v>
      </c>
      <c r="G621" s="129">
        <v>14.4542</v>
      </c>
      <c r="H621" s="70" t="s">
        <v>1</v>
      </c>
    </row>
    <row r="622" spans="1:8">
      <c r="A622" s="70">
        <v>1</v>
      </c>
      <c r="B622" s="70">
        <v>1</v>
      </c>
      <c r="C622" s="70" t="s">
        <v>42</v>
      </c>
      <c r="D622" s="70">
        <v>42</v>
      </c>
      <c r="E622" s="70">
        <v>1</v>
      </c>
      <c r="F622" s="70">
        <v>0</v>
      </c>
      <c r="G622" s="129">
        <v>52.554200000000002</v>
      </c>
      <c r="H622" s="70" t="s">
        <v>0</v>
      </c>
    </row>
    <row r="623" spans="1:8">
      <c r="A623" s="70">
        <v>1</v>
      </c>
      <c r="B623" s="70">
        <v>3</v>
      </c>
      <c r="C623" s="70" t="s">
        <v>42</v>
      </c>
      <c r="D623" s="70">
        <v>20</v>
      </c>
      <c r="E623" s="70">
        <v>1</v>
      </c>
      <c r="F623" s="70">
        <v>1</v>
      </c>
      <c r="G623" s="129">
        <v>15.7417</v>
      </c>
      <c r="H623" s="70" t="s">
        <v>1</v>
      </c>
    </row>
    <row r="624" spans="1:8">
      <c r="A624" s="70">
        <v>0</v>
      </c>
      <c r="B624" s="70">
        <v>3</v>
      </c>
      <c r="C624" s="70" t="s">
        <v>42</v>
      </c>
      <c r="D624" s="70">
        <v>21</v>
      </c>
      <c r="E624" s="70">
        <v>0</v>
      </c>
      <c r="F624" s="70">
        <v>0</v>
      </c>
      <c r="G624" s="129">
        <v>7.8541999999999996</v>
      </c>
      <c r="H624" s="70" t="s">
        <v>0</v>
      </c>
    </row>
    <row r="625" spans="1:8">
      <c r="A625" s="70">
        <v>0</v>
      </c>
      <c r="B625" s="70">
        <v>3</v>
      </c>
      <c r="C625" s="70" t="s">
        <v>42</v>
      </c>
      <c r="D625" s="70">
        <v>21</v>
      </c>
      <c r="E625" s="70">
        <v>0</v>
      </c>
      <c r="F625" s="70">
        <v>0</v>
      </c>
      <c r="G625" s="129">
        <v>16.100000000000001</v>
      </c>
      <c r="H625" s="70" t="s">
        <v>0</v>
      </c>
    </row>
    <row r="626" spans="1:8">
      <c r="A626" s="70">
        <v>0</v>
      </c>
      <c r="B626" s="70">
        <v>1</v>
      </c>
      <c r="C626" s="70" t="s">
        <v>42</v>
      </c>
      <c r="D626" s="70">
        <v>61</v>
      </c>
      <c r="E626" s="70">
        <v>0</v>
      </c>
      <c r="F626" s="70">
        <v>0</v>
      </c>
      <c r="G626" s="129">
        <v>32.320799999999998</v>
      </c>
      <c r="H626" s="70" t="s">
        <v>0</v>
      </c>
    </row>
    <row r="627" spans="1:8">
      <c r="A627" s="70">
        <v>0</v>
      </c>
      <c r="B627" s="70">
        <v>2</v>
      </c>
      <c r="C627" s="70" t="s">
        <v>42</v>
      </c>
      <c r="D627" s="70">
        <v>57</v>
      </c>
      <c r="E627" s="70">
        <v>0</v>
      </c>
      <c r="F627" s="70">
        <v>0</v>
      </c>
      <c r="G627" s="129">
        <v>12.35</v>
      </c>
      <c r="H627" s="70" t="s">
        <v>2</v>
      </c>
    </row>
    <row r="628" spans="1:8">
      <c r="A628" s="70">
        <v>1</v>
      </c>
      <c r="B628" s="70">
        <v>1</v>
      </c>
      <c r="C628" s="70" t="s">
        <v>41</v>
      </c>
      <c r="D628" s="70">
        <v>21</v>
      </c>
      <c r="E628" s="70">
        <v>0</v>
      </c>
      <c r="F628" s="70">
        <v>0</v>
      </c>
      <c r="G628" s="129">
        <v>77.958299999999994</v>
      </c>
      <c r="H628" s="70" t="s">
        <v>0</v>
      </c>
    </row>
    <row r="629" spans="1:8">
      <c r="A629" s="70">
        <v>0</v>
      </c>
      <c r="B629" s="70">
        <v>3</v>
      </c>
      <c r="C629" s="70" t="s">
        <v>42</v>
      </c>
      <c r="D629" s="70">
        <v>26</v>
      </c>
      <c r="E629" s="70">
        <v>0</v>
      </c>
      <c r="F629" s="70">
        <v>0</v>
      </c>
      <c r="G629" s="129">
        <v>7.8958000000000004</v>
      </c>
      <c r="H629" s="70" t="s">
        <v>0</v>
      </c>
    </row>
    <row r="630" spans="1:8">
      <c r="A630" s="70">
        <v>0</v>
      </c>
      <c r="B630" s="70">
        <v>3</v>
      </c>
      <c r="C630" s="70" t="s">
        <v>42</v>
      </c>
      <c r="D630" s="70">
        <v>29.7</v>
      </c>
      <c r="E630" s="70">
        <v>0</v>
      </c>
      <c r="F630" s="70">
        <v>0</v>
      </c>
      <c r="G630" s="129">
        <v>7.7332999999999998</v>
      </c>
      <c r="H630" s="70" t="s">
        <v>2</v>
      </c>
    </row>
    <row r="631" spans="1:8">
      <c r="A631" s="70">
        <v>1</v>
      </c>
      <c r="B631" s="70">
        <v>1</v>
      </c>
      <c r="C631" s="70" t="s">
        <v>42</v>
      </c>
      <c r="D631" s="70">
        <v>80</v>
      </c>
      <c r="E631" s="70">
        <v>0</v>
      </c>
      <c r="F631" s="70">
        <v>0</v>
      </c>
      <c r="G631" s="129">
        <v>30</v>
      </c>
      <c r="H631" s="70" t="s">
        <v>0</v>
      </c>
    </row>
    <row r="632" spans="1:8">
      <c r="A632" s="70">
        <v>0</v>
      </c>
      <c r="B632" s="70">
        <v>3</v>
      </c>
      <c r="C632" s="70" t="s">
        <v>42</v>
      </c>
      <c r="D632" s="70">
        <v>51</v>
      </c>
      <c r="E632" s="70">
        <v>0</v>
      </c>
      <c r="F632" s="70">
        <v>0</v>
      </c>
      <c r="G632" s="129">
        <v>7.0541999999999998</v>
      </c>
      <c r="H632" s="70" t="s">
        <v>0</v>
      </c>
    </row>
    <row r="633" spans="1:8">
      <c r="A633" s="70">
        <v>1</v>
      </c>
      <c r="B633" s="70">
        <v>1</v>
      </c>
      <c r="C633" s="70" t="s">
        <v>42</v>
      </c>
      <c r="D633" s="70">
        <v>32</v>
      </c>
      <c r="E633" s="70">
        <v>0</v>
      </c>
      <c r="F633" s="70">
        <v>0</v>
      </c>
      <c r="G633" s="129">
        <v>30.5</v>
      </c>
      <c r="H633" s="70" t="s">
        <v>1</v>
      </c>
    </row>
    <row r="634" spans="1:8">
      <c r="A634" s="70">
        <v>0</v>
      </c>
      <c r="B634" s="70">
        <v>1</v>
      </c>
      <c r="C634" s="70" t="s">
        <v>42</v>
      </c>
      <c r="D634" s="70">
        <v>29.7</v>
      </c>
      <c r="E634" s="70">
        <v>0</v>
      </c>
      <c r="F634" s="70">
        <v>0</v>
      </c>
      <c r="G634" s="129">
        <v>0</v>
      </c>
      <c r="H634" s="70" t="s">
        <v>0</v>
      </c>
    </row>
    <row r="635" spans="1:8">
      <c r="A635" s="70">
        <v>0</v>
      </c>
      <c r="B635" s="70">
        <v>3</v>
      </c>
      <c r="C635" s="70" t="s">
        <v>41</v>
      </c>
      <c r="D635" s="70">
        <v>9</v>
      </c>
      <c r="E635" s="70">
        <v>3</v>
      </c>
      <c r="F635" s="70">
        <v>2</v>
      </c>
      <c r="G635" s="129">
        <v>27.9</v>
      </c>
      <c r="H635" s="70" t="s">
        <v>0</v>
      </c>
    </row>
    <row r="636" spans="1:8">
      <c r="A636" s="70">
        <v>1</v>
      </c>
      <c r="B636" s="70">
        <v>2</v>
      </c>
      <c r="C636" s="70" t="s">
        <v>41</v>
      </c>
      <c r="D636" s="70">
        <v>28</v>
      </c>
      <c r="E636" s="70">
        <v>0</v>
      </c>
      <c r="F636" s="70">
        <v>0</v>
      </c>
      <c r="G636" s="129">
        <v>13</v>
      </c>
      <c r="H636" s="70" t="s">
        <v>0</v>
      </c>
    </row>
    <row r="637" spans="1:8">
      <c r="A637" s="70">
        <v>0</v>
      </c>
      <c r="B637" s="70">
        <v>3</v>
      </c>
      <c r="C637" s="70" t="s">
        <v>42</v>
      </c>
      <c r="D637" s="70">
        <v>32</v>
      </c>
      <c r="E637" s="70">
        <v>0</v>
      </c>
      <c r="F637" s="70">
        <v>0</v>
      </c>
      <c r="G637" s="129">
        <v>7.9249999999999998</v>
      </c>
      <c r="H637" s="70" t="s">
        <v>0</v>
      </c>
    </row>
    <row r="638" spans="1:8">
      <c r="A638" s="70">
        <v>0</v>
      </c>
      <c r="B638" s="70">
        <v>2</v>
      </c>
      <c r="C638" s="70" t="s">
        <v>42</v>
      </c>
      <c r="D638" s="70">
        <v>31</v>
      </c>
      <c r="E638" s="70">
        <v>1</v>
      </c>
      <c r="F638" s="70">
        <v>1</v>
      </c>
      <c r="G638" s="129">
        <v>26.25</v>
      </c>
      <c r="H638" s="70" t="s">
        <v>0</v>
      </c>
    </row>
    <row r="639" spans="1:8">
      <c r="A639" s="70">
        <v>0</v>
      </c>
      <c r="B639" s="70">
        <v>3</v>
      </c>
      <c r="C639" s="70" t="s">
        <v>41</v>
      </c>
      <c r="D639" s="70">
        <v>41</v>
      </c>
      <c r="E639" s="70">
        <v>0</v>
      </c>
      <c r="F639" s="70">
        <v>5</v>
      </c>
      <c r="G639" s="129">
        <v>39.6875</v>
      </c>
      <c r="H639" s="70" t="s">
        <v>0</v>
      </c>
    </row>
    <row r="640" spans="1:8">
      <c r="A640" s="70">
        <v>0</v>
      </c>
      <c r="B640" s="70">
        <v>3</v>
      </c>
      <c r="C640" s="70" t="s">
        <v>42</v>
      </c>
      <c r="D640" s="70">
        <v>29.7</v>
      </c>
      <c r="E640" s="70">
        <v>1</v>
      </c>
      <c r="F640" s="70">
        <v>0</v>
      </c>
      <c r="G640" s="129">
        <v>16.100000000000001</v>
      </c>
      <c r="H640" s="70" t="s">
        <v>0</v>
      </c>
    </row>
    <row r="641" spans="1:8">
      <c r="A641" s="70">
        <v>0</v>
      </c>
      <c r="B641" s="70">
        <v>3</v>
      </c>
      <c r="C641" s="70" t="s">
        <v>42</v>
      </c>
      <c r="D641" s="70">
        <v>20</v>
      </c>
      <c r="E641" s="70">
        <v>0</v>
      </c>
      <c r="F641" s="70">
        <v>0</v>
      </c>
      <c r="G641" s="129">
        <v>7.8541999999999996</v>
      </c>
      <c r="H641" s="70" t="s">
        <v>0</v>
      </c>
    </row>
    <row r="642" spans="1:8">
      <c r="A642" s="70">
        <v>1</v>
      </c>
      <c r="B642" s="70">
        <v>1</v>
      </c>
      <c r="C642" s="70" t="s">
        <v>41</v>
      </c>
      <c r="D642" s="70">
        <v>24</v>
      </c>
      <c r="E642" s="70">
        <v>0</v>
      </c>
      <c r="F642" s="70">
        <v>0</v>
      </c>
      <c r="G642" s="129">
        <v>69.3</v>
      </c>
      <c r="H642" s="70" t="s">
        <v>1</v>
      </c>
    </row>
    <row r="643" spans="1:8">
      <c r="A643" s="70">
        <v>0</v>
      </c>
      <c r="B643" s="70">
        <v>3</v>
      </c>
      <c r="C643" s="70" t="s">
        <v>41</v>
      </c>
      <c r="D643" s="70">
        <v>2</v>
      </c>
      <c r="E643" s="70">
        <v>3</v>
      </c>
      <c r="F643" s="70">
        <v>2</v>
      </c>
      <c r="G643" s="129">
        <v>27.9</v>
      </c>
      <c r="H643" s="70" t="s">
        <v>0</v>
      </c>
    </row>
    <row r="644" spans="1:8">
      <c r="A644" s="70">
        <v>1</v>
      </c>
      <c r="B644" s="70">
        <v>3</v>
      </c>
      <c r="C644" s="70" t="s">
        <v>42</v>
      </c>
      <c r="D644" s="70">
        <v>29.7</v>
      </c>
      <c r="E644" s="70">
        <v>0</v>
      </c>
      <c r="F644" s="70">
        <v>0</v>
      </c>
      <c r="G644" s="129">
        <v>56.495800000000003</v>
      </c>
      <c r="H644" s="70" t="s">
        <v>0</v>
      </c>
    </row>
    <row r="645" spans="1:8">
      <c r="A645" s="70">
        <v>1</v>
      </c>
      <c r="B645" s="70">
        <v>3</v>
      </c>
      <c r="C645" s="70" t="s">
        <v>41</v>
      </c>
      <c r="D645" s="70">
        <v>0.75</v>
      </c>
      <c r="E645" s="70">
        <v>2</v>
      </c>
      <c r="F645" s="70">
        <v>1</v>
      </c>
      <c r="G645" s="129">
        <v>19.258299999999998</v>
      </c>
      <c r="H645" s="70" t="s">
        <v>1</v>
      </c>
    </row>
    <row r="646" spans="1:8">
      <c r="A646" s="70">
        <v>1</v>
      </c>
      <c r="B646" s="70">
        <v>1</v>
      </c>
      <c r="C646" s="70" t="s">
        <v>42</v>
      </c>
      <c r="D646" s="70">
        <v>48</v>
      </c>
      <c r="E646" s="70">
        <v>1</v>
      </c>
      <c r="F646" s="70">
        <v>0</v>
      </c>
      <c r="G646" s="129">
        <v>76.729200000000006</v>
      </c>
      <c r="H646" s="70" t="s">
        <v>1</v>
      </c>
    </row>
    <row r="647" spans="1:8">
      <c r="A647" s="70">
        <v>0</v>
      </c>
      <c r="B647" s="70">
        <v>3</v>
      </c>
      <c r="C647" s="70" t="s">
        <v>42</v>
      </c>
      <c r="D647" s="70">
        <v>19</v>
      </c>
      <c r="E647" s="70">
        <v>0</v>
      </c>
      <c r="F647" s="70">
        <v>0</v>
      </c>
      <c r="G647" s="129">
        <v>7.8958000000000004</v>
      </c>
      <c r="H647" s="70" t="s">
        <v>0</v>
      </c>
    </row>
    <row r="648" spans="1:8">
      <c r="A648" s="70">
        <v>1</v>
      </c>
      <c r="B648" s="70">
        <v>1</v>
      </c>
      <c r="C648" s="70" t="s">
        <v>42</v>
      </c>
      <c r="D648" s="70">
        <v>56</v>
      </c>
      <c r="E648" s="70">
        <v>0</v>
      </c>
      <c r="F648" s="70">
        <v>0</v>
      </c>
      <c r="G648" s="129">
        <v>35.5</v>
      </c>
      <c r="H648" s="70" t="s">
        <v>1</v>
      </c>
    </row>
    <row r="649" spans="1:8">
      <c r="A649" s="70">
        <v>0</v>
      </c>
      <c r="B649" s="70">
        <v>3</v>
      </c>
      <c r="C649" s="70" t="s">
        <v>42</v>
      </c>
      <c r="D649" s="70">
        <v>29.7</v>
      </c>
      <c r="E649" s="70">
        <v>0</v>
      </c>
      <c r="F649" s="70">
        <v>0</v>
      </c>
      <c r="G649" s="129">
        <v>7.55</v>
      </c>
      <c r="H649" s="70" t="s">
        <v>0</v>
      </c>
    </row>
    <row r="650" spans="1:8">
      <c r="A650" s="70">
        <v>1</v>
      </c>
      <c r="B650" s="70">
        <v>3</v>
      </c>
      <c r="C650" s="70" t="s">
        <v>41</v>
      </c>
      <c r="D650" s="70">
        <v>23</v>
      </c>
      <c r="E650" s="70">
        <v>0</v>
      </c>
      <c r="F650" s="70">
        <v>0</v>
      </c>
      <c r="G650" s="129">
        <v>7.55</v>
      </c>
      <c r="H650" s="70" t="s">
        <v>0</v>
      </c>
    </row>
    <row r="651" spans="1:8">
      <c r="A651" s="70">
        <v>0</v>
      </c>
      <c r="B651" s="70">
        <v>3</v>
      </c>
      <c r="C651" s="70" t="s">
        <v>42</v>
      </c>
      <c r="D651" s="70">
        <v>29.7</v>
      </c>
      <c r="E651" s="70">
        <v>0</v>
      </c>
      <c r="F651" s="70">
        <v>0</v>
      </c>
      <c r="G651" s="129">
        <v>7.8958000000000004</v>
      </c>
      <c r="H651" s="70" t="s">
        <v>0</v>
      </c>
    </row>
    <row r="652" spans="1:8">
      <c r="A652" s="70">
        <v>1</v>
      </c>
      <c r="B652" s="70">
        <v>2</v>
      </c>
      <c r="C652" s="70" t="s">
        <v>41</v>
      </c>
      <c r="D652" s="70">
        <v>18</v>
      </c>
      <c r="E652" s="70">
        <v>0</v>
      </c>
      <c r="F652" s="70">
        <v>1</v>
      </c>
      <c r="G652" s="129">
        <v>23</v>
      </c>
      <c r="H652" s="70" t="s">
        <v>0</v>
      </c>
    </row>
    <row r="653" spans="1:8">
      <c r="A653" s="70">
        <v>0</v>
      </c>
      <c r="B653" s="70">
        <v>3</v>
      </c>
      <c r="C653" s="70" t="s">
        <v>42</v>
      </c>
      <c r="D653" s="70">
        <v>21</v>
      </c>
      <c r="E653" s="70">
        <v>0</v>
      </c>
      <c r="F653" s="70">
        <v>0</v>
      </c>
      <c r="G653" s="129">
        <v>8.4332999999999991</v>
      </c>
      <c r="H653" s="70" t="s">
        <v>0</v>
      </c>
    </row>
    <row r="654" spans="1:8">
      <c r="A654" s="70">
        <v>1</v>
      </c>
      <c r="B654" s="70">
        <v>3</v>
      </c>
      <c r="C654" s="70" t="s">
        <v>41</v>
      </c>
      <c r="D654" s="70">
        <v>29.7</v>
      </c>
      <c r="E654" s="70">
        <v>0</v>
      </c>
      <c r="F654" s="70">
        <v>0</v>
      </c>
      <c r="G654" s="129">
        <v>7.8292000000000002</v>
      </c>
      <c r="H654" s="70" t="s">
        <v>2</v>
      </c>
    </row>
    <row r="655" spans="1:8">
      <c r="A655" s="70">
        <v>0</v>
      </c>
      <c r="B655" s="70">
        <v>3</v>
      </c>
      <c r="C655" s="70" t="s">
        <v>41</v>
      </c>
      <c r="D655" s="70">
        <v>18</v>
      </c>
      <c r="E655" s="70">
        <v>0</v>
      </c>
      <c r="F655" s="70">
        <v>0</v>
      </c>
      <c r="G655" s="129">
        <v>6.75</v>
      </c>
      <c r="H655" s="70" t="s">
        <v>2</v>
      </c>
    </row>
    <row r="656" spans="1:8">
      <c r="A656" s="70">
        <v>0</v>
      </c>
      <c r="B656" s="70">
        <v>2</v>
      </c>
      <c r="C656" s="70" t="s">
        <v>42</v>
      </c>
      <c r="D656" s="70">
        <v>24</v>
      </c>
      <c r="E656" s="70">
        <v>2</v>
      </c>
      <c r="F656" s="70">
        <v>0</v>
      </c>
      <c r="G656" s="129">
        <v>73.5</v>
      </c>
      <c r="H656" s="70" t="s">
        <v>0</v>
      </c>
    </row>
    <row r="657" spans="1:8">
      <c r="A657" s="70">
        <v>0</v>
      </c>
      <c r="B657" s="70">
        <v>3</v>
      </c>
      <c r="C657" s="70" t="s">
        <v>42</v>
      </c>
      <c r="D657" s="70">
        <v>29.7</v>
      </c>
      <c r="E657" s="70">
        <v>0</v>
      </c>
      <c r="F657" s="70">
        <v>0</v>
      </c>
      <c r="G657" s="129">
        <v>7.8958000000000004</v>
      </c>
      <c r="H657" s="70" t="s">
        <v>0</v>
      </c>
    </row>
    <row r="658" spans="1:8">
      <c r="A658" s="70">
        <v>0</v>
      </c>
      <c r="B658" s="70">
        <v>3</v>
      </c>
      <c r="C658" s="70" t="s">
        <v>41</v>
      </c>
      <c r="D658" s="70">
        <v>32</v>
      </c>
      <c r="E658" s="70">
        <v>1</v>
      </c>
      <c r="F658" s="70">
        <v>1</v>
      </c>
      <c r="G658" s="129">
        <v>15.5</v>
      </c>
      <c r="H658" s="70" t="s">
        <v>2</v>
      </c>
    </row>
    <row r="659" spans="1:8">
      <c r="A659" s="70">
        <v>0</v>
      </c>
      <c r="B659" s="70">
        <v>2</v>
      </c>
      <c r="C659" s="70" t="s">
        <v>42</v>
      </c>
      <c r="D659" s="70">
        <v>23</v>
      </c>
      <c r="E659" s="70">
        <v>0</v>
      </c>
      <c r="F659" s="70">
        <v>0</v>
      </c>
      <c r="G659" s="129">
        <v>13</v>
      </c>
      <c r="H659" s="70" t="s">
        <v>0</v>
      </c>
    </row>
    <row r="660" spans="1:8">
      <c r="A660" s="70">
        <v>0</v>
      </c>
      <c r="B660" s="70">
        <v>1</v>
      </c>
      <c r="C660" s="70" t="s">
        <v>42</v>
      </c>
      <c r="D660" s="70">
        <v>58</v>
      </c>
      <c r="E660" s="70">
        <v>0</v>
      </c>
      <c r="F660" s="70">
        <v>2</v>
      </c>
      <c r="G660" s="129">
        <v>113.27500000000001</v>
      </c>
      <c r="H660" s="70" t="s">
        <v>1</v>
      </c>
    </row>
    <row r="661" spans="1:8">
      <c r="A661" s="70">
        <v>1</v>
      </c>
      <c r="B661" s="70">
        <v>1</v>
      </c>
      <c r="C661" s="70" t="s">
        <v>42</v>
      </c>
      <c r="D661" s="70">
        <v>50</v>
      </c>
      <c r="E661" s="70">
        <v>2</v>
      </c>
      <c r="F661" s="70">
        <v>0</v>
      </c>
      <c r="G661" s="129">
        <v>133.65</v>
      </c>
      <c r="H661" s="70" t="s">
        <v>0</v>
      </c>
    </row>
    <row r="662" spans="1:8">
      <c r="A662" s="70">
        <v>0</v>
      </c>
      <c r="B662" s="70">
        <v>3</v>
      </c>
      <c r="C662" s="70" t="s">
        <v>42</v>
      </c>
      <c r="D662" s="70">
        <v>40</v>
      </c>
      <c r="E662" s="70">
        <v>0</v>
      </c>
      <c r="F662" s="70">
        <v>0</v>
      </c>
      <c r="G662" s="129">
        <v>7.2249999999999996</v>
      </c>
      <c r="H662" s="70" t="s">
        <v>1</v>
      </c>
    </row>
    <row r="663" spans="1:8">
      <c r="A663" s="70">
        <v>0</v>
      </c>
      <c r="B663" s="70">
        <v>1</v>
      </c>
      <c r="C663" s="70" t="s">
        <v>42</v>
      </c>
      <c r="D663" s="70">
        <v>47</v>
      </c>
      <c r="E663" s="70">
        <v>0</v>
      </c>
      <c r="F663" s="70">
        <v>0</v>
      </c>
      <c r="G663" s="129">
        <v>25.587499999999999</v>
      </c>
      <c r="H663" s="70" t="s">
        <v>0</v>
      </c>
    </row>
    <row r="664" spans="1:8">
      <c r="A664" s="70">
        <v>0</v>
      </c>
      <c r="B664" s="70">
        <v>3</v>
      </c>
      <c r="C664" s="70" t="s">
        <v>42</v>
      </c>
      <c r="D664" s="70">
        <v>36</v>
      </c>
      <c r="E664" s="70">
        <v>0</v>
      </c>
      <c r="F664" s="70">
        <v>0</v>
      </c>
      <c r="G664" s="129">
        <v>7.4958</v>
      </c>
      <c r="H664" s="70" t="s">
        <v>0</v>
      </c>
    </row>
    <row r="665" spans="1:8">
      <c r="A665" s="70">
        <v>1</v>
      </c>
      <c r="B665" s="70">
        <v>3</v>
      </c>
      <c r="C665" s="70" t="s">
        <v>42</v>
      </c>
      <c r="D665" s="70">
        <v>20</v>
      </c>
      <c r="E665" s="70">
        <v>1</v>
      </c>
      <c r="F665" s="70">
        <v>0</v>
      </c>
      <c r="G665" s="129">
        <v>7.9249999999999998</v>
      </c>
      <c r="H665" s="70" t="s">
        <v>0</v>
      </c>
    </row>
    <row r="666" spans="1:8">
      <c r="A666" s="70">
        <v>0</v>
      </c>
      <c r="B666" s="70">
        <v>2</v>
      </c>
      <c r="C666" s="70" t="s">
        <v>42</v>
      </c>
      <c r="D666" s="70">
        <v>32</v>
      </c>
      <c r="E666" s="70">
        <v>2</v>
      </c>
      <c r="F666" s="70">
        <v>0</v>
      </c>
      <c r="G666" s="129">
        <v>73.5</v>
      </c>
      <c r="H666" s="70" t="s">
        <v>0</v>
      </c>
    </row>
    <row r="667" spans="1:8">
      <c r="A667" s="70">
        <v>0</v>
      </c>
      <c r="B667" s="70">
        <v>2</v>
      </c>
      <c r="C667" s="70" t="s">
        <v>42</v>
      </c>
      <c r="D667" s="70">
        <v>25</v>
      </c>
      <c r="E667" s="70">
        <v>0</v>
      </c>
      <c r="F667" s="70">
        <v>0</v>
      </c>
      <c r="G667" s="129">
        <v>13</v>
      </c>
      <c r="H667" s="70" t="s">
        <v>0</v>
      </c>
    </row>
    <row r="668" spans="1:8">
      <c r="A668" s="70">
        <v>0</v>
      </c>
      <c r="B668" s="70">
        <v>3</v>
      </c>
      <c r="C668" s="70" t="s">
        <v>42</v>
      </c>
      <c r="D668" s="70">
        <v>29.7</v>
      </c>
      <c r="E668" s="70">
        <v>0</v>
      </c>
      <c r="F668" s="70">
        <v>0</v>
      </c>
      <c r="G668" s="129">
        <v>7.7750000000000004</v>
      </c>
      <c r="H668" s="70" t="s">
        <v>0</v>
      </c>
    </row>
    <row r="669" spans="1:8">
      <c r="A669" s="70">
        <v>0</v>
      </c>
      <c r="B669" s="70">
        <v>3</v>
      </c>
      <c r="C669" s="70" t="s">
        <v>42</v>
      </c>
      <c r="D669" s="70">
        <v>43</v>
      </c>
      <c r="E669" s="70">
        <v>0</v>
      </c>
      <c r="F669" s="70">
        <v>0</v>
      </c>
      <c r="G669" s="129">
        <v>8.0500000000000007</v>
      </c>
      <c r="H669" s="70" t="s">
        <v>0</v>
      </c>
    </row>
    <row r="670" spans="1:8">
      <c r="A670" s="70">
        <v>1</v>
      </c>
      <c r="B670" s="70">
        <v>1</v>
      </c>
      <c r="C670" s="70" t="s">
        <v>41</v>
      </c>
      <c r="D670" s="70">
        <v>29.7</v>
      </c>
      <c r="E670" s="70">
        <v>1</v>
      </c>
      <c r="F670" s="70">
        <v>0</v>
      </c>
      <c r="G670" s="129">
        <v>52</v>
      </c>
      <c r="H670" s="70" t="s">
        <v>0</v>
      </c>
    </row>
    <row r="671" spans="1:8">
      <c r="A671" s="70">
        <v>1</v>
      </c>
      <c r="B671" s="70">
        <v>2</v>
      </c>
      <c r="C671" s="70" t="s">
        <v>41</v>
      </c>
      <c r="D671" s="70">
        <v>40</v>
      </c>
      <c r="E671" s="70">
        <v>1</v>
      </c>
      <c r="F671" s="70">
        <v>1</v>
      </c>
      <c r="G671" s="129">
        <v>39</v>
      </c>
      <c r="H671" s="70" t="s">
        <v>0</v>
      </c>
    </row>
    <row r="672" spans="1:8">
      <c r="A672" s="70">
        <v>0</v>
      </c>
      <c r="B672" s="70">
        <v>1</v>
      </c>
      <c r="C672" s="70" t="s">
        <v>42</v>
      </c>
      <c r="D672" s="70">
        <v>31</v>
      </c>
      <c r="E672" s="70">
        <v>1</v>
      </c>
      <c r="F672" s="70">
        <v>0</v>
      </c>
      <c r="G672" s="129">
        <v>52</v>
      </c>
      <c r="H672" s="70" t="s">
        <v>0</v>
      </c>
    </row>
    <row r="673" spans="1:8">
      <c r="A673" s="70">
        <v>0</v>
      </c>
      <c r="B673" s="70">
        <v>2</v>
      </c>
      <c r="C673" s="70" t="s">
        <v>42</v>
      </c>
      <c r="D673" s="70">
        <v>70</v>
      </c>
      <c r="E673" s="70">
        <v>0</v>
      </c>
      <c r="F673" s="70">
        <v>0</v>
      </c>
      <c r="G673" s="129">
        <v>10.5</v>
      </c>
      <c r="H673" s="70" t="s">
        <v>0</v>
      </c>
    </row>
    <row r="674" spans="1:8">
      <c r="A674" s="70">
        <v>1</v>
      </c>
      <c r="B674" s="70">
        <v>2</v>
      </c>
      <c r="C674" s="70" t="s">
        <v>42</v>
      </c>
      <c r="D674" s="70">
        <v>31</v>
      </c>
      <c r="E674" s="70">
        <v>0</v>
      </c>
      <c r="F674" s="70">
        <v>0</v>
      </c>
      <c r="G674" s="129">
        <v>13</v>
      </c>
      <c r="H674" s="70" t="s">
        <v>0</v>
      </c>
    </row>
    <row r="675" spans="1:8">
      <c r="A675" s="70">
        <v>0</v>
      </c>
      <c r="B675" s="70">
        <v>2</v>
      </c>
      <c r="C675" s="70" t="s">
        <v>42</v>
      </c>
      <c r="D675" s="70">
        <v>29.7</v>
      </c>
      <c r="E675" s="70">
        <v>0</v>
      </c>
      <c r="F675" s="70">
        <v>0</v>
      </c>
      <c r="G675" s="129">
        <v>0</v>
      </c>
      <c r="H675" s="70" t="s">
        <v>0</v>
      </c>
    </row>
    <row r="676" spans="1:8">
      <c r="A676" s="70">
        <v>0</v>
      </c>
      <c r="B676" s="70">
        <v>3</v>
      </c>
      <c r="C676" s="70" t="s">
        <v>42</v>
      </c>
      <c r="D676" s="70">
        <v>18</v>
      </c>
      <c r="E676" s="70">
        <v>0</v>
      </c>
      <c r="F676" s="70">
        <v>0</v>
      </c>
      <c r="G676" s="129">
        <v>7.7750000000000004</v>
      </c>
      <c r="H676" s="70" t="s">
        <v>0</v>
      </c>
    </row>
    <row r="677" spans="1:8">
      <c r="A677" s="70">
        <v>0</v>
      </c>
      <c r="B677" s="70">
        <v>3</v>
      </c>
      <c r="C677" s="70" t="s">
        <v>42</v>
      </c>
      <c r="D677" s="70">
        <v>24.5</v>
      </c>
      <c r="E677" s="70">
        <v>0</v>
      </c>
      <c r="F677" s="70">
        <v>0</v>
      </c>
      <c r="G677" s="129">
        <v>8.0500000000000007</v>
      </c>
      <c r="H677" s="70" t="s">
        <v>0</v>
      </c>
    </row>
    <row r="678" spans="1:8">
      <c r="A678" s="70">
        <v>1</v>
      </c>
      <c r="B678" s="70">
        <v>3</v>
      </c>
      <c r="C678" s="70" t="s">
        <v>41</v>
      </c>
      <c r="D678" s="70">
        <v>18</v>
      </c>
      <c r="E678" s="70">
        <v>0</v>
      </c>
      <c r="F678" s="70">
        <v>0</v>
      </c>
      <c r="G678" s="129">
        <v>9.8416999999999994</v>
      </c>
      <c r="H678" s="70" t="s">
        <v>0</v>
      </c>
    </row>
    <row r="679" spans="1:8">
      <c r="A679" s="70">
        <v>0</v>
      </c>
      <c r="B679" s="70">
        <v>3</v>
      </c>
      <c r="C679" s="70" t="s">
        <v>41</v>
      </c>
      <c r="D679" s="70">
        <v>43</v>
      </c>
      <c r="E679" s="70">
        <v>1</v>
      </c>
      <c r="F679" s="70">
        <v>6</v>
      </c>
      <c r="G679" s="129">
        <v>46.9</v>
      </c>
      <c r="H679" s="70" t="s">
        <v>0</v>
      </c>
    </row>
    <row r="680" spans="1:8">
      <c r="A680" s="70">
        <v>1</v>
      </c>
      <c r="B680" s="70">
        <v>1</v>
      </c>
      <c r="C680" s="70" t="s">
        <v>42</v>
      </c>
      <c r="D680" s="70">
        <v>36</v>
      </c>
      <c r="E680" s="70">
        <v>0</v>
      </c>
      <c r="F680" s="70">
        <v>1</v>
      </c>
      <c r="G680" s="129">
        <v>512.32920000000001</v>
      </c>
      <c r="H680" s="70" t="s">
        <v>1</v>
      </c>
    </row>
    <row r="681" spans="1:8">
      <c r="A681" s="70">
        <v>0</v>
      </c>
      <c r="B681" s="70">
        <v>3</v>
      </c>
      <c r="C681" s="70" t="s">
        <v>41</v>
      </c>
      <c r="D681" s="70">
        <v>29.7</v>
      </c>
      <c r="E681" s="70">
        <v>0</v>
      </c>
      <c r="F681" s="70">
        <v>0</v>
      </c>
      <c r="G681" s="129">
        <v>8.1374999999999993</v>
      </c>
      <c r="H681" s="70" t="s">
        <v>2</v>
      </c>
    </row>
    <row r="682" spans="1:8">
      <c r="A682" s="70">
        <v>1</v>
      </c>
      <c r="B682" s="70">
        <v>1</v>
      </c>
      <c r="C682" s="70" t="s">
        <v>42</v>
      </c>
      <c r="D682" s="70">
        <v>27</v>
      </c>
      <c r="E682" s="70">
        <v>0</v>
      </c>
      <c r="F682" s="70">
        <v>0</v>
      </c>
      <c r="G682" s="129">
        <v>76.729200000000006</v>
      </c>
      <c r="H682" s="70" t="s">
        <v>1</v>
      </c>
    </row>
    <row r="683" spans="1:8">
      <c r="A683" s="70">
        <v>0</v>
      </c>
      <c r="B683" s="70">
        <v>3</v>
      </c>
      <c r="C683" s="70" t="s">
        <v>42</v>
      </c>
      <c r="D683" s="70">
        <v>20</v>
      </c>
      <c r="E683" s="70">
        <v>0</v>
      </c>
      <c r="F683" s="70">
        <v>0</v>
      </c>
      <c r="G683" s="129">
        <v>9.2249999999999996</v>
      </c>
      <c r="H683" s="70" t="s">
        <v>0</v>
      </c>
    </row>
    <row r="684" spans="1:8">
      <c r="A684" s="70">
        <v>0</v>
      </c>
      <c r="B684" s="70">
        <v>3</v>
      </c>
      <c r="C684" s="70" t="s">
        <v>42</v>
      </c>
      <c r="D684" s="70">
        <v>14</v>
      </c>
      <c r="E684" s="70">
        <v>5</v>
      </c>
      <c r="F684" s="70">
        <v>2</v>
      </c>
      <c r="G684" s="129">
        <v>46.9</v>
      </c>
      <c r="H684" s="70" t="s">
        <v>0</v>
      </c>
    </row>
    <row r="685" spans="1:8">
      <c r="A685" s="70">
        <v>0</v>
      </c>
      <c r="B685" s="70">
        <v>2</v>
      </c>
      <c r="C685" s="70" t="s">
        <v>42</v>
      </c>
      <c r="D685" s="70">
        <v>60</v>
      </c>
      <c r="E685" s="70">
        <v>1</v>
      </c>
      <c r="F685" s="70">
        <v>1</v>
      </c>
      <c r="G685" s="129">
        <v>39</v>
      </c>
      <c r="H685" s="70" t="s">
        <v>0</v>
      </c>
    </row>
    <row r="686" spans="1:8">
      <c r="A686" s="70">
        <v>0</v>
      </c>
      <c r="B686" s="70">
        <v>2</v>
      </c>
      <c r="C686" s="70" t="s">
        <v>42</v>
      </c>
      <c r="D686" s="70">
        <v>25</v>
      </c>
      <c r="E686" s="70">
        <v>1</v>
      </c>
      <c r="F686" s="70">
        <v>2</v>
      </c>
      <c r="G686" s="129">
        <v>41.5792</v>
      </c>
      <c r="H686" s="70" t="s">
        <v>1</v>
      </c>
    </row>
    <row r="687" spans="1:8">
      <c r="A687" s="70">
        <v>0</v>
      </c>
      <c r="B687" s="70">
        <v>3</v>
      </c>
      <c r="C687" s="70" t="s">
        <v>42</v>
      </c>
      <c r="D687" s="70">
        <v>14</v>
      </c>
      <c r="E687" s="70">
        <v>4</v>
      </c>
      <c r="F687" s="70">
        <v>1</v>
      </c>
      <c r="G687" s="129">
        <v>39.6875</v>
      </c>
      <c r="H687" s="70" t="s">
        <v>0</v>
      </c>
    </row>
    <row r="688" spans="1:8">
      <c r="A688" s="70">
        <v>0</v>
      </c>
      <c r="B688" s="70">
        <v>3</v>
      </c>
      <c r="C688" s="70" t="s">
        <v>42</v>
      </c>
      <c r="D688" s="70">
        <v>19</v>
      </c>
      <c r="E688" s="70">
        <v>0</v>
      </c>
      <c r="F688" s="70">
        <v>0</v>
      </c>
      <c r="G688" s="129">
        <v>10.1708</v>
      </c>
      <c r="H688" s="70" t="s">
        <v>0</v>
      </c>
    </row>
    <row r="689" spans="1:8">
      <c r="A689" s="70">
        <v>0</v>
      </c>
      <c r="B689" s="70">
        <v>3</v>
      </c>
      <c r="C689" s="70" t="s">
        <v>42</v>
      </c>
      <c r="D689" s="70">
        <v>18</v>
      </c>
      <c r="E689" s="70">
        <v>0</v>
      </c>
      <c r="F689" s="70">
        <v>0</v>
      </c>
      <c r="G689" s="129">
        <v>7.7957999999999998</v>
      </c>
      <c r="H689" s="70" t="s">
        <v>0</v>
      </c>
    </row>
    <row r="690" spans="1:8">
      <c r="A690" s="70">
        <v>1</v>
      </c>
      <c r="B690" s="70">
        <v>1</v>
      </c>
      <c r="C690" s="70" t="s">
        <v>41</v>
      </c>
      <c r="D690" s="70">
        <v>15</v>
      </c>
      <c r="E690" s="70">
        <v>0</v>
      </c>
      <c r="F690" s="70">
        <v>1</v>
      </c>
      <c r="G690" s="129">
        <v>211.33750000000001</v>
      </c>
      <c r="H690" s="70" t="s">
        <v>0</v>
      </c>
    </row>
    <row r="691" spans="1:8">
      <c r="A691" s="70">
        <v>1</v>
      </c>
      <c r="B691" s="70">
        <v>1</v>
      </c>
      <c r="C691" s="70" t="s">
        <v>42</v>
      </c>
      <c r="D691" s="70">
        <v>31</v>
      </c>
      <c r="E691" s="70">
        <v>1</v>
      </c>
      <c r="F691" s="70">
        <v>0</v>
      </c>
      <c r="G691" s="129">
        <v>57</v>
      </c>
      <c r="H691" s="70" t="s">
        <v>0</v>
      </c>
    </row>
    <row r="692" spans="1:8">
      <c r="A692" s="70">
        <v>1</v>
      </c>
      <c r="B692" s="70">
        <v>3</v>
      </c>
      <c r="C692" s="70" t="s">
        <v>41</v>
      </c>
      <c r="D692" s="70">
        <v>4</v>
      </c>
      <c r="E692" s="70">
        <v>0</v>
      </c>
      <c r="F692" s="70">
        <v>1</v>
      </c>
      <c r="G692" s="129">
        <v>13.416700000000001</v>
      </c>
      <c r="H692" s="70" t="s">
        <v>1</v>
      </c>
    </row>
    <row r="693" spans="1:8">
      <c r="A693" s="70">
        <v>1</v>
      </c>
      <c r="B693" s="70">
        <v>3</v>
      </c>
      <c r="C693" s="70" t="s">
        <v>42</v>
      </c>
      <c r="D693" s="70">
        <v>29.7</v>
      </c>
      <c r="E693" s="70">
        <v>0</v>
      </c>
      <c r="F693" s="70">
        <v>0</v>
      </c>
      <c r="G693" s="129">
        <v>56.495800000000003</v>
      </c>
      <c r="H693" s="70" t="s">
        <v>0</v>
      </c>
    </row>
    <row r="694" spans="1:8">
      <c r="A694" s="70">
        <v>0</v>
      </c>
      <c r="B694" s="70">
        <v>3</v>
      </c>
      <c r="C694" s="70" t="s">
        <v>42</v>
      </c>
      <c r="D694" s="70">
        <v>25</v>
      </c>
      <c r="E694" s="70">
        <v>0</v>
      </c>
      <c r="F694" s="70">
        <v>0</v>
      </c>
      <c r="G694" s="129">
        <v>7.2249999999999996</v>
      </c>
      <c r="H694" s="70" t="s">
        <v>1</v>
      </c>
    </row>
    <row r="695" spans="1:8">
      <c r="A695" s="70">
        <v>0</v>
      </c>
      <c r="B695" s="70">
        <v>1</v>
      </c>
      <c r="C695" s="70" t="s">
        <v>42</v>
      </c>
      <c r="D695" s="70">
        <v>60</v>
      </c>
      <c r="E695" s="70">
        <v>0</v>
      </c>
      <c r="F695" s="70">
        <v>0</v>
      </c>
      <c r="G695" s="129">
        <v>26.55</v>
      </c>
      <c r="H695" s="70" t="s">
        <v>0</v>
      </c>
    </row>
    <row r="696" spans="1:8">
      <c r="A696" s="70">
        <v>0</v>
      </c>
      <c r="B696" s="70">
        <v>2</v>
      </c>
      <c r="C696" s="70" t="s">
        <v>42</v>
      </c>
      <c r="D696" s="70">
        <v>52</v>
      </c>
      <c r="E696" s="70">
        <v>0</v>
      </c>
      <c r="F696" s="70">
        <v>0</v>
      </c>
      <c r="G696" s="129">
        <v>13.5</v>
      </c>
      <c r="H696" s="70" t="s">
        <v>0</v>
      </c>
    </row>
    <row r="697" spans="1:8">
      <c r="A697" s="70">
        <v>0</v>
      </c>
      <c r="B697" s="70">
        <v>3</v>
      </c>
      <c r="C697" s="70" t="s">
        <v>42</v>
      </c>
      <c r="D697" s="70">
        <v>44</v>
      </c>
      <c r="E697" s="70">
        <v>0</v>
      </c>
      <c r="F697" s="70">
        <v>0</v>
      </c>
      <c r="G697" s="129">
        <v>8.0500000000000007</v>
      </c>
      <c r="H697" s="70" t="s">
        <v>0</v>
      </c>
    </row>
    <row r="698" spans="1:8">
      <c r="A698" s="70">
        <v>1</v>
      </c>
      <c r="B698" s="70">
        <v>3</v>
      </c>
      <c r="C698" s="70" t="s">
        <v>41</v>
      </c>
      <c r="D698" s="70">
        <v>29.7</v>
      </c>
      <c r="E698" s="70">
        <v>0</v>
      </c>
      <c r="F698" s="70">
        <v>0</v>
      </c>
      <c r="G698" s="129">
        <v>7.7332999999999998</v>
      </c>
      <c r="H698" s="70" t="s">
        <v>2</v>
      </c>
    </row>
    <row r="699" spans="1:8">
      <c r="A699" s="70">
        <v>0</v>
      </c>
      <c r="B699" s="70">
        <v>1</v>
      </c>
      <c r="C699" s="70" t="s">
        <v>42</v>
      </c>
      <c r="D699" s="70">
        <v>49</v>
      </c>
      <c r="E699" s="70">
        <v>1</v>
      </c>
      <c r="F699" s="70">
        <v>1</v>
      </c>
      <c r="G699" s="129">
        <v>110.88330000000001</v>
      </c>
      <c r="H699" s="70" t="s">
        <v>1</v>
      </c>
    </row>
    <row r="700" spans="1:8">
      <c r="A700" s="70">
        <v>0</v>
      </c>
      <c r="B700" s="70">
        <v>3</v>
      </c>
      <c r="C700" s="70" t="s">
        <v>42</v>
      </c>
      <c r="D700" s="70">
        <v>42</v>
      </c>
      <c r="E700" s="70">
        <v>0</v>
      </c>
      <c r="F700" s="70">
        <v>0</v>
      </c>
      <c r="G700" s="129">
        <v>7.65</v>
      </c>
      <c r="H700" s="70" t="s">
        <v>0</v>
      </c>
    </row>
    <row r="701" spans="1:8">
      <c r="A701" s="70">
        <v>1</v>
      </c>
      <c r="B701" s="70">
        <v>1</v>
      </c>
      <c r="C701" s="70" t="s">
        <v>41</v>
      </c>
      <c r="D701" s="70">
        <v>18</v>
      </c>
      <c r="E701" s="70">
        <v>1</v>
      </c>
      <c r="F701" s="70">
        <v>0</v>
      </c>
      <c r="G701" s="129">
        <v>227.52500000000001</v>
      </c>
      <c r="H701" s="70" t="s">
        <v>1</v>
      </c>
    </row>
    <row r="702" spans="1:8">
      <c r="A702" s="70">
        <v>1</v>
      </c>
      <c r="B702" s="70">
        <v>1</v>
      </c>
      <c r="C702" s="70" t="s">
        <v>42</v>
      </c>
      <c r="D702" s="70">
        <v>35</v>
      </c>
      <c r="E702" s="70">
        <v>0</v>
      </c>
      <c r="F702" s="70">
        <v>0</v>
      </c>
      <c r="G702" s="129">
        <v>26.287500000000001</v>
      </c>
      <c r="H702" s="70" t="s">
        <v>0</v>
      </c>
    </row>
    <row r="703" spans="1:8">
      <c r="A703" s="70">
        <v>0</v>
      </c>
      <c r="B703" s="70">
        <v>3</v>
      </c>
      <c r="C703" s="70" t="s">
        <v>41</v>
      </c>
      <c r="D703" s="70">
        <v>18</v>
      </c>
      <c r="E703" s="70">
        <v>0</v>
      </c>
      <c r="F703" s="70">
        <v>1</v>
      </c>
      <c r="G703" s="129">
        <v>14.4542</v>
      </c>
      <c r="H703" s="70" t="s">
        <v>1</v>
      </c>
    </row>
    <row r="704" spans="1:8">
      <c r="A704" s="70">
        <v>0</v>
      </c>
      <c r="B704" s="70">
        <v>3</v>
      </c>
      <c r="C704" s="70" t="s">
        <v>42</v>
      </c>
      <c r="D704" s="70">
        <v>25</v>
      </c>
      <c r="E704" s="70">
        <v>0</v>
      </c>
      <c r="F704" s="70">
        <v>0</v>
      </c>
      <c r="G704" s="129">
        <v>7.7416999999999998</v>
      </c>
      <c r="H704" s="70" t="s">
        <v>2</v>
      </c>
    </row>
    <row r="705" spans="1:8">
      <c r="A705" s="70">
        <v>0</v>
      </c>
      <c r="B705" s="70">
        <v>3</v>
      </c>
      <c r="C705" s="70" t="s">
        <v>42</v>
      </c>
      <c r="D705" s="70">
        <v>26</v>
      </c>
      <c r="E705" s="70">
        <v>1</v>
      </c>
      <c r="F705" s="70">
        <v>0</v>
      </c>
      <c r="G705" s="129">
        <v>7.8541999999999996</v>
      </c>
      <c r="H705" s="70" t="s">
        <v>0</v>
      </c>
    </row>
    <row r="706" spans="1:8">
      <c r="A706" s="70">
        <v>0</v>
      </c>
      <c r="B706" s="70">
        <v>2</v>
      </c>
      <c r="C706" s="70" t="s">
        <v>42</v>
      </c>
      <c r="D706" s="70">
        <v>39</v>
      </c>
      <c r="E706" s="70">
        <v>0</v>
      </c>
      <c r="F706" s="70">
        <v>0</v>
      </c>
      <c r="G706" s="129">
        <v>26</v>
      </c>
      <c r="H706" s="70" t="s">
        <v>0</v>
      </c>
    </row>
    <row r="707" spans="1:8">
      <c r="A707" s="70">
        <v>1</v>
      </c>
      <c r="B707" s="70">
        <v>2</v>
      </c>
      <c r="C707" s="70" t="s">
        <v>41</v>
      </c>
      <c r="D707" s="70">
        <v>45</v>
      </c>
      <c r="E707" s="70">
        <v>0</v>
      </c>
      <c r="F707" s="70">
        <v>0</v>
      </c>
      <c r="G707" s="129">
        <v>13.5</v>
      </c>
      <c r="H707" s="70" t="s">
        <v>0</v>
      </c>
    </row>
    <row r="708" spans="1:8">
      <c r="A708" s="70">
        <v>1</v>
      </c>
      <c r="B708" s="70">
        <v>1</v>
      </c>
      <c r="C708" s="70" t="s">
        <v>42</v>
      </c>
      <c r="D708" s="70">
        <v>42</v>
      </c>
      <c r="E708" s="70">
        <v>0</v>
      </c>
      <c r="F708" s="70">
        <v>0</v>
      </c>
      <c r="G708" s="129">
        <v>26.287500000000001</v>
      </c>
      <c r="H708" s="70" t="s">
        <v>0</v>
      </c>
    </row>
    <row r="709" spans="1:8">
      <c r="A709" s="70">
        <v>1</v>
      </c>
      <c r="B709" s="70">
        <v>1</v>
      </c>
      <c r="C709" s="70" t="s">
        <v>41</v>
      </c>
      <c r="D709" s="70">
        <v>22</v>
      </c>
      <c r="E709" s="70">
        <v>0</v>
      </c>
      <c r="F709" s="70">
        <v>0</v>
      </c>
      <c r="G709" s="129">
        <v>151.55000000000001</v>
      </c>
      <c r="H709" s="70" t="s">
        <v>0</v>
      </c>
    </row>
    <row r="710" spans="1:8">
      <c r="A710" s="70">
        <v>1</v>
      </c>
      <c r="B710" s="70">
        <v>3</v>
      </c>
      <c r="C710" s="70" t="s">
        <v>42</v>
      </c>
      <c r="D710" s="70">
        <v>29.7</v>
      </c>
      <c r="E710" s="70">
        <v>1</v>
      </c>
      <c r="F710" s="70">
        <v>1</v>
      </c>
      <c r="G710" s="129">
        <v>15.245799999999999</v>
      </c>
      <c r="H710" s="70" t="s">
        <v>1</v>
      </c>
    </row>
    <row r="711" spans="1:8">
      <c r="A711" s="70">
        <v>1</v>
      </c>
      <c r="B711" s="70">
        <v>1</v>
      </c>
      <c r="C711" s="70" t="s">
        <v>41</v>
      </c>
      <c r="D711" s="70">
        <v>24</v>
      </c>
      <c r="E711" s="70">
        <v>0</v>
      </c>
      <c r="F711" s="70">
        <v>0</v>
      </c>
      <c r="G711" s="129">
        <v>49.504199999999997</v>
      </c>
      <c r="H711" s="70" t="s">
        <v>1</v>
      </c>
    </row>
    <row r="712" spans="1:8">
      <c r="A712" s="70">
        <v>0</v>
      </c>
      <c r="B712" s="70">
        <v>1</v>
      </c>
      <c r="C712" s="70" t="s">
        <v>42</v>
      </c>
      <c r="D712" s="70">
        <v>29.7</v>
      </c>
      <c r="E712" s="70">
        <v>0</v>
      </c>
      <c r="F712" s="70">
        <v>0</v>
      </c>
      <c r="G712" s="129">
        <v>26.55</v>
      </c>
      <c r="H712" s="70" t="s">
        <v>0</v>
      </c>
    </row>
    <row r="713" spans="1:8">
      <c r="A713" s="70">
        <v>1</v>
      </c>
      <c r="B713" s="70">
        <v>1</v>
      </c>
      <c r="C713" s="70" t="s">
        <v>42</v>
      </c>
      <c r="D713" s="70">
        <v>48</v>
      </c>
      <c r="E713" s="70">
        <v>1</v>
      </c>
      <c r="F713" s="70">
        <v>0</v>
      </c>
      <c r="G713" s="129">
        <v>52</v>
      </c>
      <c r="H713" s="70" t="s">
        <v>0</v>
      </c>
    </row>
    <row r="714" spans="1:8">
      <c r="A714" s="70">
        <v>0</v>
      </c>
      <c r="B714" s="70">
        <v>3</v>
      </c>
      <c r="C714" s="70" t="s">
        <v>42</v>
      </c>
      <c r="D714" s="70">
        <v>29</v>
      </c>
      <c r="E714" s="70">
        <v>0</v>
      </c>
      <c r="F714" s="70">
        <v>0</v>
      </c>
      <c r="G714" s="129">
        <v>9.4832999999999998</v>
      </c>
      <c r="H714" s="70" t="s">
        <v>0</v>
      </c>
    </row>
    <row r="715" spans="1:8">
      <c r="A715" s="70">
        <v>0</v>
      </c>
      <c r="B715" s="70">
        <v>2</v>
      </c>
      <c r="C715" s="70" t="s">
        <v>42</v>
      </c>
      <c r="D715" s="70">
        <v>52</v>
      </c>
      <c r="E715" s="70">
        <v>0</v>
      </c>
      <c r="F715" s="70">
        <v>0</v>
      </c>
      <c r="G715" s="129">
        <v>13</v>
      </c>
      <c r="H715" s="70" t="s">
        <v>0</v>
      </c>
    </row>
    <row r="716" spans="1:8">
      <c r="A716" s="70">
        <v>0</v>
      </c>
      <c r="B716" s="70">
        <v>3</v>
      </c>
      <c r="C716" s="70" t="s">
        <v>42</v>
      </c>
      <c r="D716" s="70">
        <v>19</v>
      </c>
      <c r="E716" s="70">
        <v>0</v>
      </c>
      <c r="F716" s="70">
        <v>0</v>
      </c>
      <c r="G716" s="129">
        <v>7.65</v>
      </c>
      <c r="H716" s="70" t="s">
        <v>0</v>
      </c>
    </row>
    <row r="717" spans="1:8">
      <c r="A717" s="70">
        <v>1</v>
      </c>
      <c r="B717" s="70">
        <v>1</v>
      </c>
      <c r="C717" s="70" t="s">
        <v>41</v>
      </c>
      <c r="D717" s="70">
        <v>38</v>
      </c>
      <c r="E717" s="70">
        <v>0</v>
      </c>
      <c r="F717" s="70">
        <v>0</v>
      </c>
      <c r="G717" s="129">
        <v>227.52500000000001</v>
      </c>
      <c r="H717" s="70" t="s">
        <v>1</v>
      </c>
    </row>
    <row r="718" spans="1:8">
      <c r="A718" s="70">
        <v>1</v>
      </c>
      <c r="B718" s="70">
        <v>2</v>
      </c>
      <c r="C718" s="70" t="s">
        <v>41</v>
      </c>
      <c r="D718" s="70">
        <v>27</v>
      </c>
      <c r="E718" s="70">
        <v>0</v>
      </c>
      <c r="F718" s="70">
        <v>0</v>
      </c>
      <c r="G718" s="129">
        <v>10.5</v>
      </c>
      <c r="H718" s="70" t="s">
        <v>0</v>
      </c>
    </row>
    <row r="719" spans="1:8">
      <c r="A719" s="70">
        <v>0</v>
      </c>
      <c r="B719" s="70">
        <v>3</v>
      </c>
      <c r="C719" s="70" t="s">
        <v>42</v>
      </c>
      <c r="D719" s="70">
        <v>29.7</v>
      </c>
      <c r="E719" s="70">
        <v>0</v>
      </c>
      <c r="F719" s="70">
        <v>0</v>
      </c>
      <c r="G719" s="129">
        <v>15.5</v>
      </c>
      <c r="H719" s="70" t="s">
        <v>2</v>
      </c>
    </row>
    <row r="720" spans="1:8">
      <c r="A720" s="70">
        <v>0</v>
      </c>
      <c r="B720" s="70">
        <v>3</v>
      </c>
      <c r="C720" s="70" t="s">
        <v>42</v>
      </c>
      <c r="D720" s="70">
        <v>33</v>
      </c>
      <c r="E720" s="70">
        <v>0</v>
      </c>
      <c r="F720" s="70">
        <v>0</v>
      </c>
      <c r="G720" s="129">
        <v>7.7750000000000004</v>
      </c>
      <c r="H720" s="70" t="s">
        <v>0</v>
      </c>
    </row>
    <row r="721" spans="1:8">
      <c r="A721" s="70">
        <v>1</v>
      </c>
      <c r="B721" s="70">
        <v>2</v>
      </c>
      <c r="C721" s="70" t="s">
        <v>41</v>
      </c>
      <c r="D721" s="70">
        <v>6</v>
      </c>
      <c r="E721" s="70">
        <v>0</v>
      </c>
      <c r="F721" s="70">
        <v>1</v>
      </c>
      <c r="G721" s="129">
        <v>33</v>
      </c>
      <c r="H721" s="70" t="s">
        <v>0</v>
      </c>
    </row>
    <row r="722" spans="1:8">
      <c r="A722" s="70">
        <v>0</v>
      </c>
      <c r="B722" s="70">
        <v>3</v>
      </c>
      <c r="C722" s="70" t="s">
        <v>42</v>
      </c>
      <c r="D722" s="70">
        <v>17</v>
      </c>
      <c r="E722" s="70">
        <v>1</v>
      </c>
      <c r="F722" s="70">
        <v>0</v>
      </c>
      <c r="G722" s="129">
        <v>7.0541999999999998</v>
      </c>
      <c r="H722" s="70" t="s">
        <v>0</v>
      </c>
    </row>
    <row r="723" spans="1:8">
      <c r="A723" s="70">
        <v>0</v>
      </c>
      <c r="B723" s="70">
        <v>2</v>
      </c>
      <c r="C723" s="70" t="s">
        <v>42</v>
      </c>
      <c r="D723" s="70">
        <v>34</v>
      </c>
      <c r="E723" s="70">
        <v>0</v>
      </c>
      <c r="F723" s="70">
        <v>0</v>
      </c>
      <c r="G723" s="129">
        <v>13</v>
      </c>
      <c r="H723" s="70" t="s">
        <v>0</v>
      </c>
    </row>
    <row r="724" spans="1:8">
      <c r="A724" s="70">
        <v>0</v>
      </c>
      <c r="B724" s="70">
        <v>2</v>
      </c>
      <c r="C724" s="70" t="s">
        <v>42</v>
      </c>
      <c r="D724" s="70">
        <v>50</v>
      </c>
      <c r="E724" s="70">
        <v>0</v>
      </c>
      <c r="F724" s="70">
        <v>0</v>
      </c>
      <c r="G724" s="129">
        <v>13</v>
      </c>
      <c r="H724" s="70" t="s">
        <v>0</v>
      </c>
    </row>
    <row r="725" spans="1:8">
      <c r="A725" s="70">
        <v>1</v>
      </c>
      <c r="B725" s="70">
        <v>1</v>
      </c>
      <c r="C725" s="70" t="s">
        <v>42</v>
      </c>
      <c r="D725" s="70">
        <v>27</v>
      </c>
      <c r="E725" s="70">
        <v>1</v>
      </c>
      <c r="F725" s="70">
        <v>0</v>
      </c>
      <c r="G725" s="129">
        <v>53.1</v>
      </c>
      <c r="H725" s="70" t="s">
        <v>0</v>
      </c>
    </row>
    <row r="726" spans="1:8">
      <c r="A726" s="70">
        <v>0</v>
      </c>
      <c r="B726" s="70">
        <v>3</v>
      </c>
      <c r="C726" s="70" t="s">
        <v>42</v>
      </c>
      <c r="D726" s="70">
        <v>20</v>
      </c>
      <c r="E726" s="70">
        <v>0</v>
      </c>
      <c r="F726" s="70">
        <v>0</v>
      </c>
      <c r="G726" s="129">
        <v>8.6624999999999996</v>
      </c>
      <c r="H726" s="70" t="s">
        <v>0</v>
      </c>
    </row>
    <row r="727" spans="1:8">
      <c r="A727" s="70">
        <v>1</v>
      </c>
      <c r="B727" s="70">
        <v>2</v>
      </c>
      <c r="C727" s="70" t="s">
        <v>41</v>
      </c>
      <c r="D727" s="70">
        <v>30</v>
      </c>
      <c r="E727" s="70">
        <v>3</v>
      </c>
      <c r="F727" s="70">
        <v>0</v>
      </c>
      <c r="G727" s="129">
        <v>21</v>
      </c>
      <c r="H727" s="70" t="s">
        <v>0</v>
      </c>
    </row>
    <row r="728" spans="1:8">
      <c r="A728" s="70">
        <v>1</v>
      </c>
      <c r="B728" s="70">
        <v>3</v>
      </c>
      <c r="C728" s="70" t="s">
        <v>41</v>
      </c>
      <c r="D728" s="70">
        <v>29.7</v>
      </c>
      <c r="E728" s="70">
        <v>0</v>
      </c>
      <c r="F728" s="70">
        <v>0</v>
      </c>
      <c r="G728" s="129">
        <v>7.7374999999999998</v>
      </c>
      <c r="H728" s="70" t="s">
        <v>2</v>
      </c>
    </row>
    <row r="729" spans="1:8">
      <c r="A729" s="70">
        <v>0</v>
      </c>
      <c r="B729" s="70">
        <v>2</v>
      </c>
      <c r="C729" s="70" t="s">
        <v>42</v>
      </c>
      <c r="D729" s="70">
        <v>25</v>
      </c>
      <c r="E729" s="70">
        <v>1</v>
      </c>
      <c r="F729" s="70">
        <v>0</v>
      </c>
      <c r="G729" s="129">
        <v>26</v>
      </c>
      <c r="H729" s="70" t="s">
        <v>0</v>
      </c>
    </row>
    <row r="730" spans="1:8">
      <c r="A730" s="70">
        <v>0</v>
      </c>
      <c r="B730" s="70">
        <v>3</v>
      </c>
      <c r="C730" s="70" t="s">
        <v>41</v>
      </c>
      <c r="D730" s="70">
        <v>25</v>
      </c>
      <c r="E730" s="70">
        <v>1</v>
      </c>
      <c r="F730" s="70">
        <v>0</v>
      </c>
      <c r="G730" s="129">
        <v>7.9249999999999998</v>
      </c>
      <c r="H730" s="70" t="s">
        <v>0</v>
      </c>
    </row>
    <row r="731" spans="1:8">
      <c r="A731" s="70">
        <v>1</v>
      </c>
      <c r="B731" s="70">
        <v>1</v>
      </c>
      <c r="C731" s="70" t="s">
        <v>41</v>
      </c>
      <c r="D731" s="70">
        <v>29</v>
      </c>
      <c r="E731" s="70">
        <v>0</v>
      </c>
      <c r="F731" s="70">
        <v>0</v>
      </c>
      <c r="G731" s="129">
        <v>211.33750000000001</v>
      </c>
      <c r="H731" s="70" t="s">
        <v>0</v>
      </c>
    </row>
    <row r="732" spans="1:8">
      <c r="A732" s="70">
        <v>0</v>
      </c>
      <c r="B732" s="70">
        <v>3</v>
      </c>
      <c r="C732" s="70" t="s">
        <v>42</v>
      </c>
      <c r="D732" s="70">
        <v>11</v>
      </c>
      <c r="E732" s="70">
        <v>0</v>
      </c>
      <c r="F732" s="70">
        <v>0</v>
      </c>
      <c r="G732" s="129">
        <v>18.787500000000001</v>
      </c>
      <c r="H732" s="70" t="s">
        <v>1</v>
      </c>
    </row>
    <row r="733" spans="1:8">
      <c r="A733" s="70">
        <v>0</v>
      </c>
      <c r="B733" s="70">
        <v>2</v>
      </c>
      <c r="C733" s="70" t="s">
        <v>42</v>
      </c>
      <c r="D733" s="70">
        <v>29.7</v>
      </c>
      <c r="E733" s="70">
        <v>0</v>
      </c>
      <c r="F733" s="70">
        <v>0</v>
      </c>
      <c r="G733" s="129">
        <v>0</v>
      </c>
      <c r="H733" s="70" t="s">
        <v>0</v>
      </c>
    </row>
    <row r="734" spans="1:8">
      <c r="A734" s="70">
        <v>0</v>
      </c>
      <c r="B734" s="70">
        <v>2</v>
      </c>
      <c r="C734" s="70" t="s">
        <v>42</v>
      </c>
      <c r="D734" s="70">
        <v>23</v>
      </c>
      <c r="E734" s="70">
        <v>0</v>
      </c>
      <c r="F734" s="70">
        <v>0</v>
      </c>
      <c r="G734" s="129">
        <v>13</v>
      </c>
      <c r="H734" s="70" t="s">
        <v>0</v>
      </c>
    </row>
    <row r="735" spans="1:8">
      <c r="A735" s="70">
        <v>0</v>
      </c>
      <c r="B735" s="70">
        <v>2</v>
      </c>
      <c r="C735" s="70" t="s">
        <v>42</v>
      </c>
      <c r="D735" s="70">
        <v>23</v>
      </c>
      <c r="E735" s="70">
        <v>0</v>
      </c>
      <c r="F735" s="70">
        <v>0</v>
      </c>
      <c r="G735" s="129">
        <v>13</v>
      </c>
      <c r="H735" s="70" t="s">
        <v>0</v>
      </c>
    </row>
    <row r="736" spans="1:8">
      <c r="A736" s="70">
        <v>0</v>
      </c>
      <c r="B736" s="70">
        <v>3</v>
      </c>
      <c r="C736" s="70" t="s">
        <v>42</v>
      </c>
      <c r="D736" s="70">
        <v>28.5</v>
      </c>
      <c r="E736" s="70">
        <v>0</v>
      </c>
      <c r="F736" s="70">
        <v>0</v>
      </c>
      <c r="G736" s="129">
        <v>16.100000000000001</v>
      </c>
      <c r="H736" s="70" t="s">
        <v>0</v>
      </c>
    </row>
    <row r="737" spans="1:8">
      <c r="A737" s="70">
        <v>0</v>
      </c>
      <c r="B737" s="70">
        <v>3</v>
      </c>
      <c r="C737" s="70" t="s">
        <v>41</v>
      </c>
      <c r="D737" s="70">
        <v>48</v>
      </c>
      <c r="E737" s="70">
        <v>1</v>
      </c>
      <c r="F737" s="70">
        <v>3</v>
      </c>
      <c r="G737" s="129">
        <v>34.375</v>
      </c>
      <c r="H737" s="70" t="s">
        <v>0</v>
      </c>
    </row>
    <row r="738" spans="1:8">
      <c r="A738" s="70">
        <v>1</v>
      </c>
      <c r="B738" s="70">
        <v>1</v>
      </c>
      <c r="C738" s="70" t="s">
        <v>42</v>
      </c>
      <c r="D738" s="70">
        <v>35</v>
      </c>
      <c r="E738" s="70">
        <v>0</v>
      </c>
      <c r="F738" s="70">
        <v>0</v>
      </c>
      <c r="G738" s="129">
        <v>512.32920000000001</v>
      </c>
      <c r="H738" s="70" t="s">
        <v>1</v>
      </c>
    </row>
    <row r="739" spans="1:8">
      <c r="A739" s="70">
        <v>0</v>
      </c>
      <c r="B739" s="70">
        <v>3</v>
      </c>
      <c r="C739" s="70" t="s">
        <v>42</v>
      </c>
      <c r="D739" s="70">
        <v>29.7</v>
      </c>
      <c r="E739" s="70">
        <v>0</v>
      </c>
      <c r="F739" s="70">
        <v>0</v>
      </c>
      <c r="G739" s="129">
        <v>7.8958000000000004</v>
      </c>
      <c r="H739" s="70" t="s">
        <v>0</v>
      </c>
    </row>
    <row r="740" spans="1:8">
      <c r="A740" s="70">
        <v>0</v>
      </c>
      <c r="B740" s="70">
        <v>3</v>
      </c>
      <c r="C740" s="70" t="s">
        <v>42</v>
      </c>
      <c r="D740" s="70">
        <v>29.7</v>
      </c>
      <c r="E740" s="70">
        <v>0</v>
      </c>
      <c r="F740" s="70">
        <v>0</v>
      </c>
      <c r="G740" s="129">
        <v>7.8958000000000004</v>
      </c>
      <c r="H740" s="70" t="s">
        <v>0</v>
      </c>
    </row>
    <row r="741" spans="1:8">
      <c r="A741" s="70">
        <v>1</v>
      </c>
      <c r="B741" s="70">
        <v>1</v>
      </c>
      <c r="C741" s="70" t="s">
        <v>42</v>
      </c>
      <c r="D741" s="70">
        <v>29.7</v>
      </c>
      <c r="E741" s="70">
        <v>0</v>
      </c>
      <c r="F741" s="70">
        <v>0</v>
      </c>
      <c r="G741" s="129">
        <v>30</v>
      </c>
      <c r="H741" s="70" t="s">
        <v>0</v>
      </c>
    </row>
    <row r="742" spans="1:8">
      <c r="A742" s="70">
        <v>0</v>
      </c>
      <c r="B742" s="70">
        <v>1</v>
      </c>
      <c r="C742" s="70" t="s">
        <v>42</v>
      </c>
      <c r="D742" s="70">
        <v>36</v>
      </c>
      <c r="E742" s="70">
        <v>1</v>
      </c>
      <c r="F742" s="70">
        <v>0</v>
      </c>
      <c r="G742" s="129">
        <v>78.849999999999994</v>
      </c>
      <c r="H742" s="70" t="s">
        <v>0</v>
      </c>
    </row>
    <row r="743" spans="1:8">
      <c r="A743" s="70">
        <v>1</v>
      </c>
      <c r="B743" s="70">
        <v>1</v>
      </c>
      <c r="C743" s="70" t="s">
        <v>41</v>
      </c>
      <c r="D743" s="70">
        <v>21</v>
      </c>
      <c r="E743" s="70">
        <v>2</v>
      </c>
      <c r="F743" s="70">
        <v>2</v>
      </c>
      <c r="G743" s="129">
        <v>262.375</v>
      </c>
      <c r="H743" s="70" t="s">
        <v>1</v>
      </c>
    </row>
    <row r="744" spans="1:8">
      <c r="A744" s="70">
        <v>0</v>
      </c>
      <c r="B744" s="70">
        <v>3</v>
      </c>
      <c r="C744" s="70" t="s">
        <v>42</v>
      </c>
      <c r="D744" s="70">
        <v>24</v>
      </c>
      <c r="E744" s="70">
        <v>1</v>
      </c>
      <c r="F744" s="70">
        <v>0</v>
      </c>
      <c r="G744" s="129">
        <v>16.100000000000001</v>
      </c>
      <c r="H744" s="70" t="s">
        <v>0</v>
      </c>
    </row>
    <row r="745" spans="1:8">
      <c r="A745" s="70">
        <v>1</v>
      </c>
      <c r="B745" s="70">
        <v>3</v>
      </c>
      <c r="C745" s="70" t="s">
        <v>42</v>
      </c>
      <c r="D745" s="70">
        <v>31</v>
      </c>
      <c r="E745" s="70">
        <v>0</v>
      </c>
      <c r="F745" s="70">
        <v>0</v>
      </c>
      <c r="G745" s="129">
        <v>7.9249999999999998</v>
      </c>
      <c r="H745" s="70" t="s">
        <v>0</v>
      </c>
    </row>
    <row r="746" spans="1:8">
      <c r="A746" s="70">
        <v>0</v>
      </c>
      <c r="B746" s="70">
        <v>1</v>
      </c>
      <c r="C746" s="70" t="s">
        <v>42</v>
      </c>
      <c r="D746" s="70">
        <v>70</v>
      </c>
      <c r="E746" s="70">
        <v>1</v>
      </c>
      <c r="F746" s="70">
        <v>1</v>
      </c>
      <c r="G746" s="129">
        <v>71</v>
      </c>
      <c r="H746" s="70" t="s">
        <v>0</v>
      </c>
    </row>
    <row r="747" spans="1:8">
      <c r="A747" s="70">
        <v>0</v>
      </c>
      <c r="B747" s="70">
        <v>3</v>
      </c>
      <c r="C747" s="70" t="s">
        <v>42</v>
      </c>
      <c r="D747" s="70">
        <v>16</v>
      </c>
      <c r="E747" s="70">
        <v>1</v>
      </c>
      <c r="F747" s="70">
        <v>1</v>
      </c>
      <c r="G747" s="129">
        <v>20.25</v>
      </c>
      <c r="H747" s="70" t="s">
        <v>0</v>
      </c>
    </row>
    <row r="748" spans="1:8">
      <c r="A748" s="70">
        <v>1</v>
      </c>
      <c r="B748" s="70">
        <v>2</v>
      </c>
      <c r="C748" s="70" t="s">
        <v>41</v>
      </c>
      <c r="D748" s="70">
        <v>30</v>
      </c>
      <c r="E748" s="70">
        <v>0</v>
      </c>
      <c r="F748" s="70">
        <v>0</v>
      </c>
      <c r="G748" s="129">
        <v>13</v>
      </c>
      <c r="H748" s="70" t="s">
        <v>0</v>
      </c>
    </row>
    <row r="749" spans="1:8">
      <c r="A749" s="70">
        <v>0</v>
      </c>
      <c r="B749" s="70">
        <v>1</v>
      </c>
      <c r="C749" s="70" t="s">
        <v>42</v>
      </c>
      <c r="D749" s="70">
        <v>19</v>
      </c>
      <c r="E749" s="70">
        <v>1</v>
      </c>
      <c r="F749" s="70">
        <v>0</v>
      </c>
      <c r="G749" s="129">
        <v>53.1</v>
      </c>
      <c r="H749" s="70" t="s">
        <v>0</v>
      </c>
    </row>
    <row r="750" spans="1:8">
      <c r="A750" s="70">
        <v>0</v>
      </c>
      <c r="B750" s="70">
        <v>3</v>
      </c>
      <c r="C750" s="70" t="s">
        <v>42</v>
      </c>
      <c r="D750" s="70">
        <v>31</v>
      </c>
      <c r="E750" s="70">
        <v>0</v>
      </c>
      <c r="F750" s="70">
        <v>0</v>
      </c>
      <c r="G750" s="129">
        <v>7.75</v>
      </c>
      <c r="H750" s="70" t="s">
        <v>2</v>
      </c>
    </row>
    <row r="751" spans="1:8">
      <c r="A751" s="70">
        <v>1</v>
      </c>
      <c r="B751" s="70">
        <v>2</v>
      </c>
      <c r="C751" s="70" t="s">
        <v>41</v>
      </c>
      <c r="D751" s="70">
        <v>4</v>
      </c>
      <c r="E751" s="70">
        <v>1</v>
      </c>
      <c r="F751" s="70">
        <v>1</v>
      </c>
      <c r="G751" s="129">
        <v>23</v>
      </c>
      <c r="H751" s="70" t="s">
        <v>0</v>
      </c>
    </row>
    <row r="752" spans="1:8">
      <c r="A752" s="70">
        <v>1</v>
      </c>
      <c r="B752" s="70">
        <v>3</v>
      </c>
      <c r="C752" s="70" t="s">
        <v>42</v>
      </c>
      <c r="D752" s="70">
        <v>6</v>
      </c>
      <c r="E752" s="70">
        <v>0</v>
      </c>
      <c r="F752" s="70">
        <v>1</v>
      </c>
      <c r="G752" s="129">
        <v>12.475</v>
      </c>
      <c r="H752" s="70" t="s">
        <v>0</v>
      </c>
    </row>
    <row r="753" spans="1:8">
      <c r="A753" s="70">
        <v>0</v>
      </c>
      <c r="B753" s="70">
        <v>3</v>
      </c>
      <c r="C753" s="70" t="s">
        <v>42</v>
      </c>
      <c r="D753" s="70">
        <v>33</v>
      </c>
      <c r="E753" s="70">
        <v>0</v>
      </c>
      <c r="F753" s="70">
        <v>0</v>
      </c>
      <c r="G753" s="129">
        <v>9.5</v>
      </c>
      <c r="H753" s="70" t="s">
        <v>0</v>
      </c>
    </row>
    <row r="754" spans="1:8">
      <c r="A754" s="70">
        <v>0</v>
      </c>
      <c r="B754" s="70">
        <v>3</v>
      </c>
      <c r="C754" s="70" t="s">
        <v>42</v>
      </c>
      <c r="D754" s="70">
        <v>23</v>
      </c>
      <c r="E754" s="70">
        <v>0</v>
      </c>
      <c r="F754" s="70">
        <v>0</v>
      </c>
      <c r="G754" s="129">
        <v>7.8958000000000004</v>
      </c>
      <c r="H754" s="70" t="s">
        <v>0</v>
      </c>
    </row>
    <row r="755" spans="1:8">
      <c r="A755" s="70">
        <v>1</v>
      </c>
      <c r="B755" s="70">
        <v>2</v>
      </c>
      <c r="C755" s="70" t="s">
        <v>41</v>
      </c>
      <c r="D755" s="70">
        <v>48</v>
      </c>
      <c r="E755" s="70">
        <v>1</v>
      </c>
      <c r="F755" s="70">
        <v>2</v>
      </c>
      <c r="G755" s="129">
        <v>65</v>
      </c>
      <c r="H755" s="70" t="s">
        <v>0</v>
      </c>
    </row>
    <row r="756" spans="1:8">
      <c r="A756" s="70">
        <v>1</v>
      </c>
      <c r="B756" s="70">
        <v>2</v>
      </c>
      <c r="C756" s="70" t="s">
        <v>42</v>
      </c>
      <c r="D756" s="70">
        <v>0.67</v>
      </c>
      <c r="E756" s="70">
        <v>1</v>
      </c>
      <c r="F756" s="70">
        <v>1</v>
      </c>
      <c r="G756" s="129">
        <v>14.5</v>
      </c>
      <c r="H756" s="70" t="s">
        <v>0</v>
      </c>
    </row>
    <row r="757" spans="1:8">
      <c r="A757" s="70">
        <v>0</v>
      </c>
      <c r="B757" s="70">
        <v>3</v>
      </c>
      <c r="C757" s="70" t="s">
        <v>42</v>
      </c>
      <c r="D757" s="70">
        <v>28</v>
      </c>
      <c r="E757" s="70">
        <v>0</v>
      </c>
      <c r="F757" s="70">
        <v>0</v>
      </c>
      <c r="G757" s="129">
        <v>7.7957999999999998</v>
      </c>
      <c r="H757" s="70" t="s">
        <v>0</v>
      </c>
    </row>
    <row r="758" spans="1:8">
      <c r="A758" s="70">
        <v>0</v>
      </c>
      <c r="B758" s="70">
        <v>2</v>
      </c>
      <c r="C758" s="70" t="s">
        <v>42</v>
      </c>
      <c r="D758" s="70">
        <v>18</v>
      </c>
      <c r="E758" s="70">
        <v>0</v>
      </c>
      <c r="F758" s="70">
        <v>0</v>
      </c>
      <c r="G758" s="129">
        <v>11.5</v>
      </c>
      <c r="H758" s="70" t="s">
        <v>0</v>
      </c>
    </row>
    <row r="759" spans="1:8">
      <c r="A759" s="70">
        <v>0</v>
      </c>
      <c r="B759" s="70">
        <v>3</v>
      </c>
      <c r="C759" s="70" t="s">
        <v>42</v>
      </c>
      <c r="D759" s="70">
        <v>34</v>
      </c>
      <c r="E759" s="70">
        <v>0</v>
      </c>
      <c r="F759" s="70">
        <v>0</v>
      </c>
      <c r="G759" s="129">
        <v>8.0500000000000007</v>
      </c>
      <c r="H759" s="70" t="s">
        <v>0</v>
      </c>
    </row>
    <row r="760" spans="1:8">
      <c r="A760" s="70">
        <v>1</v>
      </c>
      <c r="B760" s="70">
        <v>1</v>
      </c>
      <c r="C760" s="70" t="s">
        <v>41</v>
      </c>
      <c r="D760" s="70">
        <v>33</v>
      </c>
      <c r="E760" s="70">
        <v>0</v>
      </c>
      <c r="F760" s="70">
        <v>0</v>
      </c>
      <c r="G760" s="129">
        <v>86.5</v>
      </c>
      <c r="H760" s="70" t="s">
        <v>0</v>
      </c>
    </row>
    <row r="761" spans="1:8">
      <c r="A761" s="70">
        <v>0</v>
      </c>
      <c r="B761" s="70">
        <v>3</v>
      </c>
      <c r="C761" s="70" t="s">
        <v>42</v>
      </c>
      <c r="D761" s="70">
        <v>29.7</v>
      </c>
      <c r="E761" s="70">
        <v>0</v>
      </c>
      <c r="F761" s="70">
        <v>0</v>
      </c>
      <c r="G761" s="129">
        <v>14.5</v>
      </c>
      <c r="H761" s="70" t="s">
        <v>0</v>
      </c>
    </row>
    <row r="762" spans="1:8">
      <c r="A762" s="70">
        <v>0</v>
      </c>
      <c r="B762" s="70">
        <v>3</v>
      </c>
      <c r="C762" s="70" t="s">
        <v>42</v>
      </c>
      <c r="D762" s="70">
        <v>41</v>
      </c>
      <c r="E762" s="70">
        <v>0</v>
      </c>
      <c r="F762" s="70">
        <v>0</v>
      </c>
      <c r="G762" s="129">
        <v>7.125</v>
      </c>
      <c r="H762" s="70" t="s">
        <v>0</v>
      </c>
    </row>
    <row r="763" spans="1:8">
      <c r="A763" s="70">
        <v>1</v>
      </c>
      <c r="B763" s="70">
        <v>3</v>
      </c>
      <c r="C763" s="70" t="s">
        <v>42</v>
      </c>
      <c r="D763" s="70">
        <v>20</v>
      </c>
      <c r="E763" s="70">
        <v>0</v>
      </c>
      <c r="F763" s="70">
        <v>0</v>
      </c>
      <c r="G763" s="129">
        <v>7.2291999999999996</v>
      </c>
      <c r="H763" s="70" t="s">
        <v>1</v>
      </c>
    </row>
    <row r="764" spans="1:8">
      <c r="A764" s="70">
        <v>1</v>
      </c>
      <c r="B764" s="70">
        <v>1</v>
      </c>
      <c r="C764" s="70" t="s">
        <v>41</v>
      </c>
      <c r="D764" s="70">
        <v>36</v>
      </c>
      <c r="E764" s="70">
        <v>1</v>
      </c>
      <c r="F764" s="70">
        <v>2</v>
      </c>
      <c r="G764" s="129">
        <v>120</v>
      </c>
      <c r="H764" s="70" t="s">
        <v>0</v>
      </c>
    </row>
    <row r="765" spans="1:8">
      <c r="A765" s="70">
        <v>0</v>
      </c>
      <c r="B765" s="70">
        <v>3</v>
      </c>
      <c r="C765" s="70" t="s">
        <v>42</v>
      </c>
      <c r="D765" s="70">
        <v>16</v>
      </c>
      <c r="E765" s="70">
        <v>0</v>
      </c>
      <c r="F765" s="70">
        <v>0</v>
      </c>
      <c r="G765" s="129">
        <v>7.7750000000000004</v>
      </c>
      <c r="H765" s="70" t="s">
        <v>0</v>
      </c>
    </row>
    <row r="766" spans="1:8">
      <c r="A766" s="70">
        <v>1</v>
      </c>
      <c r="B766" s="70">
        <v>1</v>
      </c>
      <c r="C766" s="70" t="s">
        <v>41</v>
      </c>
      <c r="D766" s="70">
        <v>51</v>
      </c>
      <c r="E766" s="70">
        <v>1</v>
      </c>
      <c r="F766" s="70">
        <v>0</v>
      </c>
      <c r="G766" s="129">
        <v>77.958299999999994</v>
      </c>
      <c r="H766" s="70" t="s">
        <v>0</v>
      </c>
    </row>
    <row r="767" spans="1:8">
      <c r="A767" s="70">
        <v>0</v>
      </c>
      <c r="B767" s="70">
        <v>1</v>
      </c>
      <c r="C767" s="70" t="s">
        <v>42</v>
      </c>
      <c r="D767" s="70">
        <v>29.7</v>
      </c>
      <c r="E767" s="70">
        <v>0</v>
      </c>
      <c r="F767" s="70">
        <v>0</v>
      </c>
      <c r="G767" s="129">
        <v>39.6</v>
      </c>
      <c r="H767" s="70" t="s">
        <v>1</v>
      </c>
    </row>
    <row r="768" spans="1:8">
      <c r="A768" s="70">
        <v>0</v>
      </c>
      <c r="B768" s="70">
        <v>3</v>
      </c>
      <c r="C768" s="70" t="s">
        <v>41</v>
      </c>
      <c r="D768" s="70">
        <v>30.5</v>
      </c>
      <c r="E768" s="70">
        <v>0</v>
      </c>
      <c r="F768" s="70">
        <v>0</v>
      </c>
      <c r="G768" s="129">
        <v>7.75</v>
      </c>
      <c r="H768" s="70" t="s">
        <v>2</v>
      </c>
    </row>
    <row r="769" spans="1:8">
      <c r="A769" s="70">
        <v>0</v>
      </c>
      <c r="B769" s="70">
        <v>3</v>
      </c>
      <c r="C769" s="70" t="s">
        <v>42</v>
      </c>
      <c r="D769" s="70">
        <v>29.7</v>
      </c>
      <c r="E769" s="70">
        <v>1</v>
      </c>
      <c r="F769" s="70">
        <v>0</v>
      </c>
      <c r="G769" s="129">
        <v>24.15</v>
      </c>
      <c r="H769" s="70" t="s">
        <v>2</v>
      </c>
    </row>
    <row r="770" spans="1:8">
      <c r="A770" s="70">
        <v>0</v>
      </c>
      <c r="B770" s="70">
        <v>3</v>
      </c>
      <c r="C770" s="70" t="s">
        <v>42</v>
      </c>
      <c r="D770" s="70">
        <v>32</v>
      </c>
      <c r="E770" s="70">
        <v>0</v>
      </c>
      <c r="F770" s="70">
        <v>0</v>
      </c>
      <c r="G770" s="129">
        <v>8.3625000000000007</v>
      </c>
      <c r="H770" s="70" t="s">
        <v>0</v>
      </c>
    </row>
    <row r="771" spans="1:8">
      <c r="A771" s="70">
        <v>0</v>
      </c>
      <c r="B771" s="70">
        <v>3</v>
      </c>
      <c r="C771" s="70" t="s">
        <v>42</v>
      </c>
      <c r="D771" s="70">
        <v>24</v>
      </c>
      <c r="E771" s="70">
        <v>0</v>
      </c>
      <c r="F771" s="70">
        <v>0</v>
      </c>
      <c r="G771" s="129">
        <v>9.5</v>
      </c>
      <c r="H771" s="70" t="s">
        <v>0</v>
      </c>
    </row>
    <row r="772" spans="1:8">
      <c r="A772" s="70">
        <v>0</v>
      </c>
      <c r="B772" s="70">
        <v>3</v>
      </c>
      <c r="C772" s="70" t="s">
        <v>42</v>
      </c>
      <c r="D772" s="70">
        <v>48</v>
      </c>
      <c r="E772" s="70">
        <v>0</v>
      </c>
      <c r="F772" s="70">
        <v>0</v>
      </c>
      <c r="G772" s="129">
        <v>7.8541999999999996</v>
      </c>
      <c r="H772" s="70" t="s">
        <v>0</v>
      </c>
    </row>
    <row r="773" spans="1:8">
      <c r="A773" s="70">
        <v>0</v>
      </c>
      <c r="B773" s="70">
        <v>2</v>
      </c>
      <c r="C773" s="70" t="s">
        <v>41</v>
      </c>
      <c r="D773" s="70">
        <v>57</v>
      </c>
      <c r="E773" s="70">
        <v>0</v>
      </c>
      <c r="F773" s="70">
        <v>0</v>
      </c>
      <c r="G773" s="129">
        <v>10.5</v>
      </c>
      <c r="H773" s="70" t="s">
        <v>0</v>
      </c>
    </row>
    <row r="774" spans="1:8">
      <c r="A774" s="70">
        <v>0</v>
      </c>
      <c r="B774" s="70">
        <v>3</v>
      </c>
      <c r="C774" s="70" t="s">
        <v>42</v>
      </c>
      <c r="D774" s="70">
        <v>29.7</v>
      </c>
      <c r="E774" s="70">
        <v>0</v>
      </c>
      <c r="F774" s="70">
        <v>0</v>
      </c>
      <c r="G774" s="129">
        <v>7.2249999999999996</v>
      </c>
      <c r="H774" s="70" t="s">
        <v>1</v>
      </c>
    </row>
    <row r="775" spans="1:8">
      <c r="A775" s="70">
        <v>1</v>
      </c>
      <c r="B775" s="70">
        <v>2</v>
      </c>
      <c r="C775" s="70" t="s">
        <v>41</v>
      </c>
      <c r="D775" s="70">
        <v>54</v>
      </c>
      <c r="E775" s="70">
        <v>1</v>
      </c>
      <c r="F775" s="70">
        <v>3</v>
      </c>
      <c r="G775" s="129">
        <v>23</v>
      </c>
      <c r="H775" s="70" t="s">
        <v>0</v>
      </c>
    </row>
    <row r="776" spans="1:8">
      <c r="A776" s="70">
        <v>0</v>
      </c>
      <c r="B776" s="70">
        <v>3</v>
      </c>
      <c r="C776" s="70" t="s">
        <v>42</v>
      </c>
      <c r="D776" s="70">
        <v>18</v>
      </c>
      <c r="E776" s="70">
        <v>0</v>
      </c>
      <c r="F776" s="70">
        <v>0</v>
      </c>
      <c r="G776" s="129">
        <v>7.75</v>
      </c>
      <c r="H776" s="70" t="s">
        <v>0</v>
      </c>
    </row>
    <row r="777" spans="1:8">
      <c r="A777" s="70">
        <v>0</v>
      </c>
      <c r="B777" s="70">
        <v>3</v>
      </c>
      <c r="C777" s="70" t="s">
        <v>42</v>
      </c>
      <c r="D777" s="70">
        <v>29.7</v>
      </c>
      <c r="E777" s="70">
        <v>0</v>
      </c>
      <c r="F777" s="70">
        <v>0</v>
      </c>
      <c r="G777" s="129">
        <v>7.75</v>
      </c>
      <c r="H777" s="70" t="s">
        <v>2</v>
      </c>
    </row>
    <row r="778" spans="1:8">
      <c r="A778" s="70">
        <v>1</v>
      </c>
      <c r="B778" s="70">
        <v>3</v>
      </c>
      <c r="C778" s="70" t="s">
        <v>41</v>
      </c>
      <c r="D778" s="70">
        <v>5</v>
      </c>
      <c r="E778" s="70">
        <v>0</v>
      </c>
      <c r="F778" s="70">
        <v>0</v>
      </c>
      <c r="G778" s="129">
        <v>12.475</v>
      </c>
      <c r="H778" s="70" t="s">
        <v>0</v>
      </c>
    </row>
    <row r="779" spans="1:8">
      <c r="A779" s="70">
        <v>0</v>
      </c>
      <c r="B779" s="70">
        <v>3</v>
      </c>
      <c r="C779" s="70" t="s">
        <v>42</v>
      </c>
      <c r="D779" s="70">
        <v>29.7</v>
      </c>
      <c r="E779" s="70">
        <v>0</v>
      </c>
      <c r="F779" s="70">
        <v>0</v>
      </c>
      <c r="G779" s="129">
        <v>7.7374999999999998</v>
      </c>
      <c r="H779" s="70" t="s">
        <v>2</v>
      </c>
    </row>
    <row r="780" spans="1:8">
      <c r="A780" s="70">
        <v>1</v>
      </c>
      <c r="B780" s="70">
        <v>1</v>
      </c>
      <c r="C780" s="70" t="s">
        <v>41</v>
      </c>
      <c r="D780" s="70">
        <v>43</v>
      </c>
      <c r="E780" s="70">
        <v>0</v>
      </c>
      <c r="F780" s="70">
        <v>1</v>
      </c>
      <c r="G780" s="129">
        <v>211.33750000000001</v>
      </c>
      <c r="H780" s="70" t="s">
        <v>0</v>
      </c>
    </row>
    <row r="781" spans="1:8">
      <c r="A781" s="70">
        <v>1</v>
      </c>
      <c r="B781" s="70">
        <v>3</v>
      </c>
      <c r="C781" s="70" t="s">
        <v>41</v>
      </c>
      <c r="D781" s="70">
        <v>13</v>
      </c>
      <c r="E781" s="70">
        <v>0</v>
      </c>
      <c r="F781" s="70">
        <v>0</v>
      </c>
      <c r="G781" s="129">
        <v>7.2291999999999996</v>
      </c>
      <c r="H781" s="70" t="s">
        <v>1</v>
      </c>
    </row>
    <row r="782" spans="1:8">
      <c r="A782" s="70">
        <v>1</v>
      </c>
      <c r="B782" s="70">
        <v>1</v>
      </c>
      <c r="C782" s="70" t="s">
        <v>41</v>
      </c>
      <c r="D782" s="70">
        <v>17</v>
      </c>
      <c r="E782" s="70">
        <v>1</v>
      </c>
      <c r="F782" s="70">
        <v>0</v>
      </c>
      <c r="G782" s="129">
        <v>57</v>
      </c>
      <c r="H782" s="70" t="s">
        <v>0</v>
      </c>
    </row>
    <row r="783" spans="1:8">
      <c r="A783" s="70">
        <v>0</v>
      </c>
      <c r="B783" s="70">
        <v>1</v>
      </c>
      <c r="C783" s="70" t="s">
        <v>42</v>
      </c>
      <c r="D783" s="70">
        <v>29</v>
      </c>
      <c r="E783" s="70">
        <v>0</v>
      </c>
      <c r="F783" s="70">
        <v>0</v>
      </c>
      <c r="G783" s="129">
        <v>30</v>
      </c>
      <c r="H783" s="70" t="s">
        <v>0</v>
      </c>
    </row>
    <row r="784" spans="1:8">
      <c r="A784" s="70">
        <v>0</v>
      </c>
      <c r="B784" s="70">
        <v>3</v>
      </c>
      <c r="C784" s="70" t="s">
        <v>42</v>
      </c>
      <c r="D784" s="70">
        <v>29.7</v>
      </c>
      <c r="E784" s="70">
        <v>1</v>
      </c>
      <c r="F784" s="70">
        <v>2</v>
      </c>
      <c r="G784" s="129">
        <v>23.45</v>
      </c>
      <c r="H784" s="70" t="s">
        <v>0</v>
      </c>
    </row>
    <row r="785" spans="1:8">
      <c r="A785" s="70">
        <v>0</v>
      </c>
      <c r="B785" s="70">
        <v>3</v>
      </c>
      <c r="C785" s="70" t="s">
        <v>42</v>
      </c>
      <c r="D785" s="70">
        <v>25</v>
      </c>
      <c r="E785" s="70">
        <v>0</v>
      </c>
      <c r="F785" s="70">
        <v>0</v>
      </c>
      <c r="G785" s="129">
        <v>7.05</v>
      </c>
      <c r="H785" s="70" t="s">
        <v>0</v>
      </c>
    </row>
    <row r="786" spans="1:8">
      <c r="A786" s="70">
        <v>0</v>
      </c>
      <c r="B786" s="70">
        <v>3</v>
      </c>
      <c r="C786" s="70" t="s">
        <v>42</v>
      </c>
      <c r="D786" s="70">
        <v>25</v>
      </c>
      <c r="E786" s="70">
        <v>0</v>
      </c>
      <c r="F786" s="70">
        <v>0</v>
      </c>
      <c r="G786" s="129">
        <v>7.25</v>
      </c>
      <c r="H786" s="70" t="s">
        <v>0</v>
      </c>
    </row>
    <row r="787" spans="1:8">
      <c r="A787" s="70">
        <v>1</v>
      </c>
      <c r="B787" s="70">
        <v>3</v>
      </c>
      <c r="C787" s="70" t="s">
        <v>41</v>
      </c>
      <c r="D787" s="70">
        <v>18</v>
      </c>
      <c r="E787" s="70">
        <v>0</v>
      </c>
      <c r="F787" s="70">
        <v>0</v>
      </c>
      <c r="G787" s="129">
        <v>7.4958</v>
      </c>
      <c r="H787" s="70" t="s">
        <v>0</v>
      </c>
    </row>
    <row r="788" spans="1:8">
      <c r="A788" s="70">
        <v>0</v>
      </c>
      <c r="B788" s="70">
        <v>3</v>
      </c>
      <c r="C788" s="70" t="s">
        <v>42</v>
      </c>
      <c r="D788" s="70">
        <v>8</v>
      </c>
      <c r="E788" s="70">
        <v>4</v>
      </c>
      <c r="F788" s="70">
        <v>1</v>
      </c>
      <c r="G788" s="129">
        <v>29.125</v>
      </c>
      <c r="H788" s="70" t="s">
        <v>2</v>
      </c>
    </row>
    <row r="789" spans="1:8">
      <c r="A789" s="70">
        <v>1</v>
      </c>
      <c r="B789" s="70">
        <v>3</v>
      </c>
      <c r="C789" s="70" t="s">
        <v>42</v>
      </c>
      <c r="D789" s="70">
        <v>1</v>
      </c>
      <c r="E789" s="70">
        <v>1</v>
      </c>
      <c r="F789" s="70">
        <v>2</v>
      </c>
      <c r="G789" s="129">
        <v>20.574999999999999</v>
      </c>
      <c r="H789" s="70" t="s">
        <v>0</v>
      </c>
    </row>
    <row r="790" spans="1:8">
      <c r="A790" s="70">
        <v>0</v>
      </c>
      <c r="B790" s="70">
        <v>1</v>
      </c>
      <c r="C790" s="70" t="s">
        <v>42</v>
      </c>
      <c r="D790" s="70">
        <v>46</v>
      </c>
      <c r="E790" s="70">
        <v>0</v>
      </c>
      <c r="F790" s="70">
        <v>0</v>
      </c>
      <c r="G790" s="129">
        <v>79.2</v>
      </c>
      <c r="H790" s="70" t="s">
        <v>1</v>
      </c>
    </row>
    <row r="791" spans="1:8">
      <c r="A791" s="70">
        <v>0</v>
      </c>
      <c r="B791" s="70">
        <v>3</v>
      </c>
      <c r="C791" s="70" t="s">
        <v>42</v>
      </c>
      <c r="D791" s="70">
        <v>29.7</v>
      </c>
      <c r="E791" s="70">
        <v>0</v>
      </c>
      <c r="F791" s="70">
        <v>0</v>
      </c>
      <c r="G791" s="129">
        <v>7.75</v>
      </c>
      <c r="H791" s="70" t="s">
        <v>2</v>
      </c>
    </row>
    <row r="792" spans="1:8">
      <c r="A792" s="70">
        <v>0</v>
      </c>
      <c r="B792" s="70">
        <v>2</v>
      </c>
      <c r="C792" s="70" t="s">
        <v>42</v>
      </c>
      <c r="D792" s="70">
        <v>16</v>
      </c>
      <c r="E792" s="70">
        <v>0</v>
      </c>
      <c r="F792" s="70">
        <v>0</v>
      </c>
      <c r="G792" s="129">
        <v>26</v>
      </c>
      <c r="H792" s="70" t="s">
        <v>0</v>
      </c>
    </row>
    <row r="793" spans="1:8">
      <c r="A793" s="70">
        <v>0</v>
      </c>
      <c r="B793" s="70">
        <v>3</v>
      </c>
      <c r="C793" s="70" t="s">
        <v>41</v>
      </c>
      <c r="D793" s="70">
        <v>29.7</v>
      </c>
      <c r="E793" s="70">
        <v>8</v>
      </c>
      <c r="F793" s="70">
        <v>2</v>
      </c>
      <c r="G793" s="129">
        <v>69.55</v>
      </c>
      <c r="H793" s="70" t="s">
        <v>0</v>
      </c>
    </row>
    <row r="794" spans="1:8">
      <c r="A794" s="70">
        <v>0</v>
      </c>
      <c r="B794" s="70">
        <v>1</v>
      </c>
      <c r="C794" s="70" t="s">
        <v>42</v>
      </c>
      <c r="D794" s="70">
        <v>29.7</v>
      </c>
      <c r="E794" s="70">
        <v>0</v>
      </c>
      <c r="F794" s="70">
        <v>0</v>
      </c>
      <c r="G794" s="129">
        <v>30.695799999999998</v>
      </c>
      <c r="H794" s="70" t="s">
        <v>1</v>
      </c>
    </row>
    <row r="795" spans="1:8">
      <c r="A795" s="70">
        <v>0</v>
      </c>
      <c r="B795" s="70">
        <v>3</v>
      </c>
      <c r="C795" s="70" t="s">
        <v>42</v>
      </c>
      <c r="D795" s="70">
        <v>25</v>
      </c>
      <c r="E795" s="70">
        <v>0</v>
      </c>
      <c r="F795" s="70">
        <v>0</v>
      </c>
      <c r="G795" s="129">
        <v>7.8958000000000004</v>
      </c>
      <c r="H795" s="70" t="s">
        <v>0</v>
      </c>
    </row>
    <row r="796" spans="1:8">
      <c r="A796" s="70">
        <v>0</v>
      </c>
      <c r="B796" s="70">
        <v>2</v>
      </c>
      <c r="C796" s="70" t="s">
        <v>42</v>
      </c>
      <c r="D796" s="70">
        <v>39</v>
      </c>
      <c r="E796" s="70">
        <v>0</v>
      </c>
      <c r="F796" s="70">
        <v>0</v>
      </c>
      <c r="G796" s="129">
        <v>13</v>
      </c>
      <c r="H796" s="70" t="s">
        <v>0</v>
      </c>
    </row>
    <row r="797" spans="1:8">
      <c r="A797" s="70">
        <v>1</v>
      </c>
      <c r="B797" s="70">
        <v>1</v>
      </c>
      <c r="C797" s="70" t="s">
        <v>41</v>
      </c>
      <c r="D797" s="70">
        <v>49</v>
      </c>
      <c r="E797" s="70">
        <v>0</v>
      </c>
      <c r="F797" s="70">
        <v>0</v>
      </c>
      <c r="G797" s="129">
        <v>25.929200000000002</v>
      </c>
      <c r="H797" s="70" t="s">
        <v>0</v>
      </c>
    </row>
    <row r="798" spans="1:8">
      <c r="A798" s="70">
        <v>1</v>
      </c>
      <c r="B798" s="70">
        <v>3</v>
      </c>
      <c r="C798" s="70" t="s">
        <v>41</v>
      </c>
      <c r="D798" s="70">
        <v>31</v>
      </c>
      <c r="E798" s="70">
        <v>0</v>
      </c>
      <c r="F798" s="70">
        <v>0</v>
      </c>
      <c r="G798" s="129">
        <v>8.6832999999999991</v>
      </c>
      <c r="H798" s="70" t="s">
        <v>0</v>
      </c>
    </row>
    <row r="799" spans="1:8">
      <c r="A799" s="70">
        <v>0</v>
      </c>
      <c r="B799" s="70">
        <v>3</v>
      </c>
      <c r="C799" s="70" t="s">
        <v>42</v>
      </c>
      <c r="D799" s="70">
        <v>30</v>
      </c>
      <c r="E799" s="70">
        <v>0</v>
      </c>
      <c r="F799" s="70">
        <v>0</v>
      </c>
      <c r="G799" s="129">
        <v>7.2291999999999996</v>
      </c>
      <c r="H799" s="70" t="s">
        <v>1</v>
      </c>
    </row>
    <row r="800" spans="1:8">
      <c r="A800" s="70">
        <v>0</v>
      </c>
      <c r="B800" s="70">
        <v>3</v>
      </c>
      <c r="C800" s="70" t="s">
        <v>41</v>
      </c>
      <c r="D800" s="70">
        <v>30</v>
      </c>
      <c r="E800" s="70">
        <v>1</v>
      </c>
      <c r="F800" s="70">
        <v>1</v>
      </c>
      <c r="G800" s="129">
        <v>24.15</v>
      </c>
      <c r="H800" s="70" t="s">
        <v>0</v>
      </c>
    </row>
    <row r="801" spans="1:8">
      <c r="A801" s="70">
        <v>0</v>
      </c>
      <c r="B801" s="70">
        <v>2</v>
      </c>
      <c r="C801" s="70" t="s">
        <v>42</v>
      </c>
      <c r="D801" s="70">
        <v>34</v>
      </c>
      <c r="E801" s="70">
        <v>0</v>
      </c>
      <c r="F801" s="70">
        <v>0</v>
      </c>
      <c r="G801" s="129">
        <v>13</v>
      </c>
      <c r="H801" s="70" t="s">
        <v>0</v>
      </c>
    </row>
    <row r="802" spans="1:8">
      <c r="A802" s="70">
        <v>1</v>
      </c>
      <c r="B802" s="70">
        <v>2</v>
      </c>
      <c r="C802" s="70" t="s">
        <v>41</v>
      </c>
      <c r="D802" s="70">
        <v>31</v>
      </c>
      <c r="E802" s="70">
        <v>1</v>
      </c>
      <c r="F802" s="70">
        <v>1</v>
      </c>
      <c r="G802" s="129">
        <v>26.25</v>
      </c>
      <c r="H802" s="70" t="s">
        <v>0</v>
      </c>
    </row>
    <row r="803" spans="1:8">
      <c r="A803" s="70">
        <v>1</v>
      </c>
      <c r="B803" s="70">
        <v>1</v>
      </c>
      <c r="C803" s="70" t="s">
        <v>42</v>
      </c>
      <c r="D803" s="70">
        <v>11</v>
      </c>
      <c r="E803" s="70">
        <v>1</v>
      </c>
      <c r="F803" s="70">
        <v>2</v>
      </c>
      <c r="G803" s="129">
        <v>120</v>
      </c>
      <c r="H803" s="70" t="s">
        <v>0</v>
      </c>
    </row>
    <row r="804" spans="1:8">
      <c r="A804" s="70">
        <v>1</v>
      </c>
      <c r="B804" s="70">
        <v>3</v>
      </c>
      <c r="C804" s="70" t="s">
        <v>42</v>
      </c>
      <c r="D804" s="70">
        <v>0.42</v>
      </c>
      <c r="E804" s="70">
        <v>0</v>
      </c>
      <c r="F804" s="70">
        <v>1</v>
      </c>
      <c r="G804" s="129">
        <v>8.5167000000000002</v>
      </c>
      <c r="H804" s="70" t="s">
        <v>1</v>
      </c>
    </row>
    <row r="805" spans="1:8">
      <c r="A805" s="70">
        <v>1</v>
      </c>
      <c r="B805" s="70">
        <v>3</v>
      </c>
      <c r="C805" s="70" t="s">
        <v>42</v>
      </c>
      <c r="D805" s="70">
        <v>27</v>
      </c>
      <c r="E805" s="70">
        <v>0</v>
      </c>
      <c r="F805" s="70">
        <v>0</v>
      </c>
      <c r="G805" s="129">
        <v>6.9749999999999996</v>
      </c>
      <c r="H805" s="70" t="s">
        <v>0</v>
      </c>
    </row>
    <row r="806" spans="1:8">
      <c r="A806" s="70">
        <v>0</v>
      </c>
      <c r="B806" s="70">
        <v>3</v>
      </c>
      <c r="C806" s="70" t="s">
        <v>42</v>
      </c>
      <c r="D806" s="70">
        <v>31</v>
      </c>
      <c r="E806" s="70">
        <v>0</v>
      </c>
      <c r="F806" s="70">
        <v>0</v>
      </c>
      <c r="G806" s="129">
        <v>7.7750000000000004</v>
      </c>
      <c r="H806" s="70" t="s">
        <v>0</v>
      </c>
    </row>
    <row r="807" spans="1:8">
      <c r="A807" s="70">
        <v>0</v>
      </c>
      <c r="B807" s="70">
        <v>1</v>
      </c>
      <c r="C807" s="70" t="s">
        <v>42</v>
      </c>
      <c r="D807" s="70">
        <v>39</v>
      </c>
      <c r="E807" s="70">
        <v>0</v>
      </c>
      <c r="F807" s="70">
        <v>0</v>
      </c>
      <c r="G807" s="129">
        <v>0</v>
      </c>
      <c r="H807" s="70" t="s">
        <v>0</v>
      </c>
    </row>
    <row r="808" spans="1:8">
      <c r="A808" s="70">
        <v>0</v>
      </c>
      <c r="B808" s="70">
        <v>3</v>
      </c>
      <c r="C808" s="70" t="s">
        <v>41</v>
      </c>
      <c r="D808" s="70">
        <v>18</v>
      </c>
      <c r="E808" s="70">
        <v>0</v>
      </c>
      <c r="F808" s="70">
        <v>0</v>
      </c>
      <c r="G808" s="129">
        <v>7.7750000000000004</v>
      </c>
      <c r="H808" s="70" t="s">
        <v>0</v>
      </c>
    </row>
    <row r="809" spans="1:8">
      <c r="A809" s="70">
        <v>0</v>
      </c>
      <c r="B809" s="70">
        <v>2</v>
      </c>
      <c r="C809" s="70" t="s">
        <v>42</v>
      </c>
      <c r="D809" s="70">
        <v>39</v>
      </c>
      <c r="E809" s="70">
        <v>0</v>
      </c>
      <c r="F809" s="70">
        <v>0</v>
      </c>
      <c r="G809" s="129">
        <v>13</v>
      </c>
      <c r="H809" s="70" t="s">
        <v>0</v>
      </c>
    </row>
    <row r="810" spans="1:8">
      <c r="A810" s="70">
        <v>1</v>
      </c>
      <c r="B810" s="70">
        <v>1</v>
      </c>
      <c r="C810" s="70" t="s">
        <v>41</v>
      </c>
      <c r="D810" s="70">
        <v>33</v>
      </c>
      <c r="E810" s="70">
        <v>1</v>
      </c>
      <c r="F810" s="70">
        <v>0</v>
      </c>
      <c r="G810" s="129">
        <v>53.1</v>
      </c>
      <c r="H810" s="70" t="s">
        <v>0</v>
      </c>
    </row>
    <row r="811" spans="1:8">
      <c r="A811" s="70">
        <v>0</v>
      </c>
      <c r="B811" s="70">
        <v>3</v>
      </c>
      <c r="C811" s="70" t="s">
        <v>42</v>
      </c>
      <c r="D811" s="70">
        <v>26</v>
      </c>
      <c r="E811" s="70">
        <v>0</v>
      </c>
      <c r="F811" s="70">
        <v>0</v>
      </c>
      <c r="G811" s="129">
        <v>7.8875000000000002</v>
      </c>
      <c r="H811" s="70" t="s">
        <v>0</v>
      </c>
    </row>
    <row r="812" spans="1:8">
      <c r="A812" s="70">
        <v>0</v>
      </c>
      <c r="B812" s="70">
        <v>3</v>
      </c>
      <c r="C812" s="70" t="s">
        <v>42</v>
      </c>
      <c r="D812" s="70">
        <v>39</v>
      </c>
      <c r="E812" s="70">
        <v>0</v>
      </c>
      <c r="F812" s="70">
        <v>0</v>
      </c>
      <c r="G812" s="129">
        <v>24.15</v>
      </c>
      <c r="H812" s="70" t="s">
        <v>0</v>
      </c>
    </row>
    <row r="813" spans="1:8">
      <c r="A813" s="70">
        <v>0</v>
      </c>
      <c r="B813" s="70">
        <v>2</v>
      </c>
      <c r="C813" s="70" t="s">
        <v>42</v>
      </c>
      <c r="D813" s="70">
        <v>35</v>
      </c>
      <c r="E813" s="70">
        <v>0</v>
      </c>
      <c r="F813" s="70">
        <v>0</v>
      </c>
      <c r="G813" s="129">
        <v>10.5</v>
      </c>
      <c r="H813" s="70" t="s">
        <v>0</v>
      </c>
    </row>
    <row r="814" spans="1:8">
      <c r="A814" s="70">
        <v>0</v>
      </c>
      <c r="B814" s="70">
        <v>3</v>
      </c>
      <c r="C814" s="70" t="s">
        <v>41</v>
      </c>
      <c r="D814" s="70">
        <v>6</v>
      </c>
      <c r="E814" s="70">
        <v>4</v>
      </c>
      <c r="F814" s="70">
        <v>2</v>
      </c>
      <c r="G814" s="129">
        <v>31.274999999999999</v>
      </c>
      <c r="H814" s="70" t="s">
        <v>0</v>
      </c>
    </row>
    <row r="815" spans="1:8">
      <c r="A815" s="70">
        <v>0</v>
      </c>
      <c r="B815" s="70">
        <v>3</v>
      </c>
      <c r="C815" s="70" t="s">
        <v>42</v>
      </c>
      <c r="D815" s="70">
        <v>30.5</v>
      </c>
      <c r="E815" s="70">
        <v>0</v>
      </c>
      <c r="F815" s="70">
        <v>0</v>
      </c>
      <c r="G815" s="129">
        <v>8.0500000000000007</v>
      </c>
      <c r="H815" s="70" t="s">
        <v>0</v>
      </c>
    </row>
    <row r="816" spans="1:8">
      <c r="A816" s="70">
        <v>0</v>
      </c>
      <c r="B816" s="70">
        <v>1</v>
      </c>
      <c r="C816" s="70" t="s">
        <v>42</v>
      </c>
      <c r="D816" s="70">
        <v>29.7</v>
      </c>
      <c r="E816" s="70">
        <v>0</v>
      </c>
      <c r="F816" s="70">
        <v>0</v>
      </c>
      <c r="G816" s="129">
        <v>0</v>
      </c>
      <c r="H816" s="70" t="s">
        <v>0</v>
      </c>
    </row>
    <row r="817" spans="1:8">
      <c r="A817" s="70">
        <v>0</v>
      </c>
      <c r="B817" s="70">
        <v>3</v>
      </c>
      <c r="C817" s="70" t="s">
        <v>41</v>
      </c>
      <c r="D817" s="70">
        <v>23</v>
      </c>
      <c r="E817" s="70">
        <v>0</v>
      </c>
      <c r="F817" s="70">
        <v>0</v>
      </c>
      <c r="G817" s="129">
        <v>7.9249999999999998</v>
      </c>
      <c r="H817" s="70" t="s">
        <v>0</v>
      </c>
    </row>
    <row r="818" spans="1:8">
      <c r="A818" s="70">
        <v>0</v>
      </c>
      <c r="B818" s="70">
        <v>2</v>
      </c>
      <c r="C818" s="70" t="s">
        <v>42</v>
      </c>
      <c r="D818" s="70">
        <v>31</v>
      </c>
      <c r="E818" s="70">
        <v>1</v>
      </c>
      <c r="F818" s="70">
        <v>1</v>
      </c>
      <c r="G818" s="129">
        <v>37.004199999999997</v>
      </c>
      <c r="H818" s="70" t="s">
        <v>1</v>
      </c>
    </row>
    <row r="819" spans="1:8">
      <c r="A819" s="70">
        <v>0</v>
      </c>
      <c r="B819" s="70">
        <v>3</v>
      </c>
      <c r="C819" s="70" t="s">
        <v>42</v>
      </c>
      <c r="D819" s="70">
        <v>43</v>
      </c>
      <c r="E819" s="70">
        <v>0</v>
      </c>
      <c r="F819" s="70">
        <v>0</v>
      </c>
      <c r="G819" s="129">
        <v>6.45</v>
      </c>
      <c r="H819" s="70" t="s">
        <v>0</v>
      </c>
    </row>
    <row r="820" spans="1:8">
      <c r="A820" s="70">
        <v>0</v>
      </c>
      <c r="B820" s="70">
        <v>3</v>
      </c>
      <c r="C820" s="70" t="s">
        <v>42</v>
      </c>
      <c r="D820" s="70">
        <v>10</v>
      </c>
      <c r="E820" s="70">
        <v>3</v>
      </c>
      <c r="F820" s="70">
        <v>2</v>
      </c>
      <c r="G820" s="129">
        <v>27.9</v>
      </c>
      <c r="H820" s="70" t="s">
        <v>0</v>
      </c>
    </row>
    <row r="821" spans="1:8">
      <c r="A821" s="70">
        <v>1</v>
      </c>
      <c r="B821" s="70">
        <v>1</v>
      </c>
      <c r="C821" s="70" t="s">
        <v>41</v>
      </c>
      <c r="D821" s="70">
        <v>52</v>
      </c>
      <c r="E821" s="70">
        <v>1</v>
      </c>
      <c r="F821" s="70">
        <v>1</v>
      </c>
      <c r="G821" s="129">
        <v>93.5</v>
      </c>
      <c r="H821" s="70" t="s">
        <v>0</v>
      </c>
    </row>
    <row r="822" spans="1:8">
      <c r="A822" s="70">
        <v>1</v>
      </c>
      <c r="B822" s="70">
        <v>3</v>
      </c>
      <c r="C822" s="70" t="s">
        <v>42</v>
      </c>
      <c r="D822" s="70">
        <v>27</v>
      </c>
      <c r="E822" s="70">
        <v>0</v>
      </c>
      <c r="F822" s="70">
        <v>0</v>
      </c>
      <c r="G822" s="129">
        <v>8.6624999999999996</v>
      </c>
      <c r="H822" s="70" t="s">
        <v>0</v>
      </c>
    </row>
    <row r="823" spans="1:8">
      <c r="A823" s="70">
        <v>0</v>
      </c>
      <c r="B823" s="70">
        <v>1</v>
      </c>
      <c r="C823" s="70" t="s">
        <v>42</v>
      </c>
      <c r="D823" s="70">
        <v>38</v>
      </c>
      <c r="E823" s="70">
        <v>0</v>
      </c>
      <c r="F823" s="70">
        <v>0</v>
      </c>
      <c r="G823" s="129">
        <v>0</v>
      </c>
      <c r="H823" s="70" t="s">
        <v>0</v>
      </c>
    </row>
    <row r="824" spans="1:8">
      <c r="A824" s="70">
        <v>1</v>
      </c>
      <c r="B824" s="70">
        <v>3</v>
      </c>
      <c r="C824" s="70" t="s">
        <v>41</v>
      </c>
      <c r="D824" s="70">
        <v>27</v>
      </c>
      <c r="E824" s="70">
        <v>0</v>
      </c>
      <c r="F824" s="70">
        <v>1</v>
      </c>
      <c r="G824" s="129">
        <v>12.475</v>
      </c>
      <c r="H824" s="70" t="s">
        <v>0</v>
      </c>
    </row>
    <row r="825" spans="1:8">
      <c r="A825" s="70">
        <v>0</v>
      </c>
      <c r="B825" s="70">
        <v>3</v>
      </c>
      <c r="C825" s="70" t="s">
        <v>42</v>
      </c>
      <c r="D825" s="70">
        <v>2</v>
      </c>
      <c r="E825" s="70">
        <v>4</v>
      </c>
      <c r="F825" s="70">
        <v>1</v>
      </c>
      <c r="G825" s="129">
        <v>39.6875</v>
      </c>
      <c r="H825" s="70" t="s">
        <v>0</v>
      </c>
    </row>
    <row r="826" spans="1:8">
      <c r="A826" s="70">
        <v>0</v>
      </c>
      <c r="B826" s="70">
        <v>3</v>
      </c>
      <c r="C826" s="70" t="s">
        <v>42</v>
      </c>
      <c r="D826" s="70">
        <v>29.7</v>
      </c>
      <c r="E826" s="70">
        <v>0</v>
      </c>
      <c r="F826" s="70">
        <v>0</v>
      </c>
      <c r="G826" s="129">
        <v>6.95</v>
      </c>
      <c r="H826" s="70" t="s">
        <v>2</v>
      </c>
    </row>
    <row r="827" spans="1:8">
      <c r="A827" s="70">
        <v>0</v>
      </c>
      <c r="B827" s="70">
        <v>3</v>
      </c>
      <c r="C827" s="70" t="s">
        <v>42</v>
      </c>
      <c r="D827" s="70">
        <v>29.7</v>
      </c>
      <c r="E827" s="70">
        <v>0</v>
      </c>
      <c r="F827" s="70">
        <v>0</v>
      </c>
      <c r="G827" s="129">
        <v>56.495800000000003</v>
      </c>
      <c r="H827" s="70" t="s">
        <v>0</v>
      </c>
    </row>
    <row r="828" spans="1:8">
      <c r="A828" s="70">
        <v>1</v>
      </c>
      <c r="B828" s="70">
        <v>2</v>
      </c>
      <c r="C828" s="70" t="s">
        <v>42</v>
      </c>
      <c r="D828" s="70">
        <v>1</v>
      </c>
      <c r="E828" s="70">
        <v>0</v>
      </c>
      <c r="F828" s="70">
        <v>2</v>
      </c>
      <c r="G828" s="129">
        <v>37.004199999999997</v>
      </c>
      <c r="H828" s="70" t="s">
        <v>1</v>
      </c>
    </row>
    <row r="829" spans="1:8">
      <c r="A829" s="70">
        <v>1</v>
      </c>
      <c r="B829" s="70">
        <v>3</v>
      </c>
      <c r="C829" s="70" t="s">
        <v>42</v>
      </c>
      <c r="D829" s="70">
        <v>29.7</v>
      </c>
      <c r="E829" s="70">
        <v>0</v>
      </c>
      <c r="F829" s="70">
        <v>0</v>
      </c>
      <c r="G829" s="129">
        <v>7.75</v>
      </c>
      <c r="H829" s="70" t="s">
        <v>2</v>
      </c>
    </row>
    <row r="830" spans="1:8">
      <c r="A830" s="70">
        <v>1</v>
      </c>
      <c r="B830" s="70">
        <v>3</v>
      </c>
      <c r="C830" s="70" t="s">
        <v>41</v>
      </c>
      <c r="D830" s="70">
        <v>15</v>
      </c>
      <c r="E830" s="70">
        <v>1</v>
      </c>
      <c r="F830" s="70">
        <v>0</v>
      </c>
      <c r="G830" s="129">
        <v>14.4542</v>
      </c>
      <c r="H830" s="70" t="s">
        <v>1</v>
      </c>
    </row>
    <row r="831" spans="1:8">
      <c r="A831" s="70">
        <v>1</v>
      </c>
      <c r="B831" s="70">
        <v>2</v>
      </c>
      <c r="C831" s="70" t="s">
        <v>42</v>
      </c>
      <c r="D831" s="70">
        <v>0.83</v>
      </c>
      <c r="E831" s="70">
        <v>1</v>
      </c>
      <c r="F831" s="70">
        <v>1</v>
      </c>
      <c r="G831" s="129">
        <v>18.75</v>
      </c>
      <c r="H831" s="70" t="s">
        <v>0</v>
      </c>
    </row>
    <row r="832" spans="1:8">
      <c r="A832" s="70">
        <v>0</v>
      </c>
      <c r="B832" s="70">
        <v>3</v>
      </c>
      <c r="C832" s="70" t="s">
        <v>42</v>
      </c>
      <c r="D832" s="70">
        <v>29.7</v>
      </c>
      <c r="E832" s="70">
        <v>0</v>
      </c>
      <c r="F832" s="70">
        <v>0</v>
      </c>
      <c r="G832" s="129">
        <v>7.2291999999999996</v>
      </c>
      <c r="H832" s="70" t="s">
        <v>1</v>
      </c>
    </row>
    <row r="833" spans="1:8">
      <c r="A833" s="70">
        <v>0</v>
      </c>
      <c r="B833" s="70">
        <v>3</v>
      </c>
      <c r="C833" s="70" t="s">
        <v>42</v>
      </c>
      <c r="D833" s="70">
        <v>23</v>
      </c>
      <c r="E833" s="70">
        <v>0</v>
      </c>
      <c r="F833" s="70">
        <v>0</v>
      </c>
      <c r="G833" s="129">
        <v>7.8541999999999996</v>
      </c>
      <c r="H833" s="70" t="s">
        <v>0</v>
      </c>
    </row>
    <row r="834" spans="1:8">
      <c r="A834" s="70">
        <v>0</v>
      </c>
      <c r="B834" s="70">
        <v>3</v>
      </c>
      <c r="C834" s="70" t="s">
        <v>42</v>
      </c>
      <c r="D834" s="70">
        <v>18</v>
      </c>
      <c r="E834" s="70">
        <v>0</v>
      </c>
      <c r="F834" s="70">
        <v>0</v>
      </c>
      <c r="G834" s="129">
        <v>8.3000000000000007</v>
      </c>
      <c r="H834" s="70" t="s">
        <v>0</v>
      </c>
    </row>
    <row r="835" spans="1:8">
      <c r="A835" s="70">
        <v>1</v>
      </c>
      <c r="B835" s="70">
        <v>1</v>
      </c>
      <c r="C835" s="70" t="s">
        <v>41</v>
      </c>
      <c r="D835" s="70">
        <v>39</v>
      </c>
      <c r="E835" s="70">
        <v>1</v>
      </c>
      <c r="F835" s="70">
        <v>1</v>
      </c>
      <c r="G835" s="129">
        <v>83.158299999999997</v>
      </c>
      <c r="H835" s="70" t="s">
        <v>1</v>
      </c>
    </row>
    <row r="836" spans="1:8">
      <c r="A836" s="70">
        <v>0</v>
      </c>
      <c r="B836" s="70">
        <v>3</v>
      </c>
      <c r="C836" s="70" t="s">
        <v>42</v>
      </c>
      <c r="D836" s="70">
        <v>21</v>
      </c>
      <c r="E836" s="70">
        <v>0</v>
      </c>
      <c r="F836" s="70">
        <v>0</v>
      </c>
      <c r="G836" s="129">
        <v>8.6624999999999996</v>
      </c>
      <c r="H836" s="70" t="s">
        <v>0</v>
      </c>
    </row>
    <row r="837" spans="1:8">
      <c r="A837" s="70">
        <v>0</v>
      </c>
      <c r="B837" s="70">
        <v>3</v>
      </c>
      <c r="C837" s="70" t="s">
        <v>42</v>
      </c>
      <c r="D837" s="70">
        <v>29.7</v>
      </c>
      <c r="E837" s="70">
        <v>0</v>
      </c>
      <c r="F837" s="70">
        <v>0</v>
      </c>
      <c r="G837" s="129">
        <v>8.0500000000000007</v>
      </c>
      <c r="H837" s="70" t="s">
        <v>0</v>
      </c>
    </row>
    <row r="838" spans="1:8">
      <c r="A838" s="70">
        <v>1</v>
      </c>
      <c r="B838" s="70">
        <v>3</v>
      </c>
      <c r="C838" s="70" t="s">
        <v>42</v>
      </c>
      <c r="D838" s="70">
        <v>32</v>
      </c>
      <c r="E838" s="70">
        <v>0</v>
      </c>
      <c r="F838" s="70">
        <v>0</v>
      </c>
      <c r="G838" s="129">
        <v>56.495800000000003</v>
      </c>
      <c r="H838" s="70" t="s">
        <v>0</v>
      </c>
    </row>
    <row r="839" spans="1:8">
      <c r="A839" s="70">
        <v>1</v>
      </c>
      <c r="B839" s="70">
        <v>1</v>
      </c>
      <c r="C839" s="70" t="s">
        <v>42</v>
      </c>
      <c r="D839" s="70">
        <v>29.7</v>
      </c>
      <c r="E839" s="70">
        <v>0</v>
      </c>
      <c r="F839" s="70">
        <v>0</v>
      </c>
      <c r="G839" s="129">
        <v>29.7</v>
      </c>
      <c r="H839" s="70" t="s">
        <v>1</v>
      </c>
    </row>
    <row r="840" spans="1:8">
      <c r="A840" s="70">
        <v>0</v>
      </c>
      <c r="B840" s="70">
        <v>3</v>
      </c>
      <c r="C840" s="70" t="s">
        <v>42</v>
      </c>
      <c r="D840" s="70">
        <v>20</v>
      </c>
      <c r="E840" s="70">
        <v>0</v>
      </c>
      <c r="F840" s="70">
        <v>0</v>
      </c>
      <c r="G840" s="129">
        <v>7.9249999999999998</v>
      </c>
      <c r="H840" s="70" t="s">
        <v>0</v>
      </c>
    </row>
    <row r="841" spans="1:8">
      <c r="A841" s="70">
        <v>0</v>
      </c>
      <c r="B841" s="70">
        <v>2</v>
      </c>
      <c r="C841" s="70" t="s">
        <v>42</v>
      </c>
      <c r="D841" s="70">
        <v>16</v>
      </c>
      <c r="E841" s="70">
        <v>0</v>
      </c>
      <c r="F841" s="70">
        <v>0</v>
      </c>
      <c r="G841" s="129">
        <v>10.5</v>
      </c>
      <c r="H841" s="70" t="s">
        <v>0</v>
      </c>
    </row>
    <row r="842" spans="1:8">
      <c r="A842" s="70">
        <v>1</v>
      </c>
      <c r="B842" s="70">
        <v>1</v>
      </c>
      <c r="C842" s="70" t="s">
        <v>41</v>
      </c>
      <c r="D842" s="70">
        <v>30</v>
      </c>
      <c r="E842" s="70">
        <v>0</v>
      </c>
      <c r="F842" s="70">
        <v>0</v>
      </c>
      <c r="G842" s="129">
        <v>31</v>
      </c>
      <c r="H842" s="70" t="s">
        <v>1</v>
      </c>
    </row>
    <row r="843" spans="1:8">
      <c r="A843" s="70">
        <v>0</v>
      </c>
      <c r="B843" s="70">
        <v>3</v>
      </c>
      <c r="C843" s="70" t="s">
        <v>42</v>
      </c>
      <c r="D843" s="70">
        <v>34.5</v>
      </c>
      <c r="E843" s="70">
        <v>0</v>
      </c>
      <c r="F843" s="70">
        <v>0</v>
      </c>
      <c r="G843" s="129">
        <v>6.4375</v>
      </c>
      <c r="H843" s="70" t="s">
        <v>1</v>
      </c>
    </row>
    <row r="844" spans="1:8">
      <c r="A844" s="70">
        <v>0</v>
      </c>
      <c r="B844" s="70">
        <v>3</v>
      </c>
      <c r="C844" s="70" t="s">
        <v>42</v>
      </c>
      <c r="D844" s="70">
        <v>17</v>
      </c>
      <c r="E844" s="70">
        <v>0</v>
      </c>
      <c r="F844" s="70">
        <v>0</v>
      </c>
      <c r="G844" s="129">
        <v>8.6624999999999996</v>
      </c>
      <c r="H844" s="70" t="s">
        <v>0</v>
      </c>
    </row>
    <row r="845" spans="1:8">
      <c r="A845" s="70">
        <v>0</v>
      </c>
      <c r="B845" s="70">
        <v>3</v>
      </c>
      <c r="C845" s="70" t="s">
        <v>42</v>
      </c>
      <c r="D845" s="70">
        <v>42</v>
      </c>
      <c r="E845" s="70">
        <v>0</v>
      </c>
      <c r="F845" s="70">
        <v>0</v>
      </c>
      <c r="G845" s="129">
        <v>7.55</v>
      </c>
      <c r="H845" s="70" t="s">
        <v>0</v>
      </c>
    </row>
    <row r="846" spans="1:8">
      <c r="A846" s="70">
        <v>0</v>
      </c>
      <c r="B846" s="70">
        <v>3</v>
      </c>
      <c r="C846" s="70" t="s">
        <v>42</v>
      </c>
      <c r="D846" s="70">
        <v>29.7</v>
      </c>
      <c r="E846" s="70">
        <v>8</v>
      </c>
      <c r="F846" s="70">
        <v>2</v>
      </c>
      <c r="G846" s="129">
        <v>69.55</v>
      </c>
      <c r="H846" s="70" t="s">
        <v>0</v>
      </c>
    </row>
    <row r="847" spans="1:8">
      <c r="A847" s="70">
        <v>0</v>
      </c>
      <c r="B847" s="70">
        <v>3</v>
      </c>
      <c r="C847" s="70" t="s">
        <v>42</v>
      </c>
      <c r="D847" s="70">
        <v>35</v>
      </c>
      <c r="E847" s="70">
        <v>0</v>
      </c>
      <c r="F847" s="70">
        <v>0</v>
      </c>
      <c r="G847" s="129">
        <v>7.8958000000000004</v>
      </c>
      <c r="H847" s="70" t="s">
        <v>1</v>
      </c>
    </row>
    <row r="848" spans="1:8">
      <c r="A848" s="70">
        <v>0</v>
      </c>
      <c r="B848" s="70">
        <v>2</v>
      </c>
      <c r="C848" s="70" t="s">
        <v>42</v>
      </c>
      <c r="D848" s="70">
        <v>28</v>
      </c>
      <c r="E848" s="70">
        <v>0</v>
      </c>
      <c r="F848" s="70">
        <v>1</v>
      </c>
      <c r="G848" s="129">
        <v>33</v>
      </c>
      <c r="H848" s="70" t="s">
        <v>0</v>
      </c>
    </row>
    <row r="849" spans="1:8">
      <c r="A849" s="70">
        <v>1</v>
      </c>
      <c r="B849" s="70">
        <v>1</v>
      </c>
      <c r="C849" s="70" t="s">
        <v>41</v>
      </c>
      <c r="D849" s="70">
        <v>29.7</v>
      </c>
      <c r="E849" s="70">
        <v>1</v>
      </c>
      <c r="F849" s="70">
        <v>0</v>
      </c>
      <c r="G849" s="129">
        <v>89.104200000000006</v>
      </c>
      <c r="H849" s="70" t="s">
        <v>1</v>
      </c>
    </row>
    <row r="850" spans="1:8">
      <c r="A850" s="70">
        <v>0</v>
      </c>
      <c r="B850" s="70">
        <v>3</v>
      </c>
      <c r="C850" s="70" t="s">
        <v>42</v>
      </c>
      <c r="D850" s="70">
        <v>4</v>
      </c>
      <c r="E850" s="70">
        <v>4</v>
      </c>
      <c r="F850" s="70">
        <v>2</v>
      </c>
      <c r="G850" s="129">
        <v>31.274999999999999</v>
      </c>
      <c r="H850" s="70" t="s">
        <v>0</v>
      </c>
    </row>
    <row r="851" spans="1:8">
      <c r="A851" s="70">
        <v>0</v>
      </c>
      <c r="B851" s="70">
        <v>3</v>
      </c>
      <c r="C851" s="70" t="s">
        <v>42</v>
      </c>
      <c r="D851" s="70">
        <v>74</v>
      </c>
      <c r="E851" s="70">
        <v>0</v>
      </c>
      <c r="F851" s="70">
        <v>0</v>
      </c>
      <c r="G851" s="129">
        <v>7.7750000000000004</v>
      </c>
      <c r="H851" s="70" t="s">
        <v>0</v>
      </c>
    </row>
    <row r="852" spans="1:8">
      <c r="A852" s="70">
        <v>0</v>
      </c>
      <c r="B852" s="70">
        <v>3</v>
      </c>
      <c r="C852" s="70" t="s">
        <v>41</v>
      </c>
      <c r="D852" s="70">
        <v>9</v>
      </c>
      <c r="E852" s="70">
        <v>1</v>
      </c>
      <c r="F852" s="70">
        <v>1</v>
      </c>
      <c r="G852" s="129">
        <v>15.245799999999999</v>
      </c>
      <c r="H852" s="70" t="s">
        <v>1</v>
      </c>
    </row>
    <row r="853" spans="1:8">
      <c r="A853" s="70">
        <v>1</v>
      </c>
      <c r="B853" s="70">
        <v>1</v>
      </c>
      <c r="C853" s="70" t="s">
        <v>41</v>
      </c>
      <c r="D853" s="70">
        <v>16</v>
      </c>
      <c r="E853" s="70">
        <v>0</v>
      </c>
      <c r="F853" s="70">
        <v>1</v>
      </c>
      <c r="G853" s="129">
        <v>39.4</v>
      </c>
      <c r="H853" s="70" t="s">
        <v>0</v>
      </c>
    </row>
    <row r="854" spans="1:8">
      <c r="A854" s="70">
        <v>0</v>
      </c>
      <c r="B854" s="70">
        <v>2</v>
      </c>
      <c r="C854" s="70" t="s">
        <v>41</v>
      </c>
      <c r="D854" s="70">
        <v>44</v>
      </c>
      <c r="E854" s="70">
        <v>1</v>
      </c>
      <c r="F854" s="70">
        <v>0</v>
      </c>
      <c r="G854" s="129">
        <v>26</v>
      </c>
      <c r="H854" s="70" t="s">
        <v>0</v>
      </c>
    </row>
    <row r="855" spans="1:8">
      <c r="A855" s="70">
        <v>1</v>
      </c>
      <c r="B855" s="70">
        <v>3</v>
      </c>
      <c r="C855" s="70" t="s">
        <v>41</v>
      </c>
      <c r="D855" s="70">
        <v>18</v>
      </c>
      <c r="E855" s="70">
        <v>0</v>
      </c>
      <c r="F855" s="70">
        <v>1</v>
      </c>
      <c r="G855" s="129">
        <v>9.35</v>
      </c>
      <c r="H855" s="70" t="s">
        <v>0</v>
      </c>
    </row>
    <row r="856" spans="1:8">
      <c r="A856" s="70">
        <v>1</v>
      </c>
      <c r="B856" s="70">
        <v>1</v>
      </c>
      <c r="C856" s="70" t="s">
        <v>41</v>
      </c>
      <c r="D856" s="70">
        <v>45</v>
      </c>
      <c r="E856" s="70">
        <v>1</v>
      </c>
      <c r="F856" s="70">
        <v>1</v>
      </c>
      <c r="G856" s="129">
        <v>164.86670000000001</v>
      </c>
      <c r="H856" s="70" t="s">
        <v>0</v>
      </c>
    </row>
    <row r="857" spans="1:8">
      <c r="A857" s="70">
        <v>1</v>
      </c>
      <c r="B857" s="70">
        <v>1</v>
      </c>
      <c r="C857" s="70" t="s">
        <v>42</v>
      </c>
      <c r="D857" s="70">
        <v>51</v>
      </c>
      <c r="E857" s="70">
        <v>0</v>
      </c>
      <c r="F857" s="70">
        <v>0</v>
      </c>
      <c r="G857" s="129">
        <v>26.55</v>
      </c>
      <c r="H857" s="70" t="s">
        <v>0</v>
      </c>
    </row>
    <row r="858" spans="1:8">
      <c r="A858" s="70">
        <v>1</v>
      </c>
      <c r="B858" s="70">
        <v>3</v>
      </c>
      <c r="C858" s="70" t="s">
        <v>41</v>
      </c>
      <c r="D858" s="70">
        <v>24</v>
      </c>
      <c r="E858" s="70">
        <v>0</v>
      </c>
      <c r="F858" s="70">
        <v>3</v>
      </c>
      <c r="G858" s="129">
        <v>19.258299999999998</v>
      </c>
      <c r="H858" s="70" t="s">
        <v>1</v>
      </c>
    </row>
    <row r="859" spans="1:8">
      <c r="A859" s="70">
        <v>0</v>
      </c>
      <c r="B859" s="70">
        <v>3</v>
      </c>
      <c r="C859" s="70" t="s">
        <v>42</v>
      </c>
      <c r="D859" s="70">
        <v>29.7</v>
      </c>
      <c r="E859" s="70">
        <v>0</v>
      </c>
      <c r="F859" s="70">
        <v>0</v>
      </c>
      <c r="G859" s="129">
        <v>7.2291999999999996</v>
      </c>
      <c r="H859" s="70" t="s">
        <v>1</v>
      </c>
    </row>
    <row r="860" spans="1:8">
      <c r="A860" s="70">
        <v>0</v>
      </c>
      <c r="B860" s="70">
        <v>3</v>
      </c>
      <c r="C860" s="70" t="s">
        <v>42</v>
      </c>
      <c r="D860" s="70">
        <v>41</v>
      </c>
      <c r="E860" s="70">
        <v>2</v>
      </c>
      <c r="F860" s="70">
        <v>0</v>
      </c>
      <c r="G860" s="129">
        <v>14.1083</v>
      </c>
      <c r="H860" s="70" t="s">
        <v>0</v>
      </c>
    </row>
    <row r="861" spans="1:8">
      <c r="A861" s="70">
        <v>0</v>
      </c>
      <c r="B861" s="70">
        <v>2</v>
      </c>
      <c r="C861" s="70" t="s">
        <v>42</v>
      </c>
      <c r="D861" s="70">
        <v>21</v>
      </c>
      <c r="E861" s="70">
        <v>1</v>
      </c>
      <c r="F861" s="70">
        <v>0</v>
      </c>
      <c r="G861" s="129">
        <v>11.5</v>
      </c>
      <c r="H861" s="70" t="s">
        <v>0</v>
      </c>
    </row>
    <row r="862" spans="1:8">
      <c r="A862" s="70">
        <v>1</v>
      </c>
      <c r="B862" s="70">
        <v>1</v>
      </c>
      <c r="C862" s="70" t="s">
        <v>41</v>
      </c>
      <c r="D862" s="70">
        <v>48</v>
      </c>
      <c r="E862" s="70">
        <v>0</v>
      </c>
      <c r="F862" s="70">
        <v>0</v>
      </c>
      <c r="G862" s="129">
        <v>25.929200000000002</v>
      </c>
      <c r="H862" s="70" t="s">
        <v>0</v>
      </c>
    </row>
    <row r="863" spans="1:8">
      <c r="A863" s="70">
        <v>0</v>
      </c>
      <c r="B863" s="70">
        <v>3</v>
      </c>
      <c r="C863" s="70" t="s">
        <v>41</v>
      </c>
      <c r="D863" s="70">
        <v>29.7</v>
      </c>
      <c r="E863" s="70">
        <v>8</v>
      </c>
      <c r="F863" s="70">
        <v>2</v>
      </c>
      <c r="G863" s="129">
        <v>69.55</v>
      </c>
      <c r="H863" s="70" t="s">
        <v>0</v>
      </c>
    </row>
    <row r="864" spans="1:8">
      <c r="A864" s="70">
        <v>0</v>
      </c>
      <c r="B864" s="70">
        <v>2</v>
      </c>
      <c r="C864" s="70" t="s">
        <v>42</v>
      </c>
      <c r="D864" s="70">
        <v>24</v>
      </c>
      <c r="E864" s="70">
        <v>0</v>
      </c>
      <c r="F864" s="70">
        <v>0</v>
      </c>
      <c r="G864" s="129">
        <v>13</v>
      </c>
      <c r="H864" s="70" t="s">
        <v>0</v>
      </c>
    </row>
    <row r="865" spans="1:8">
      <c r="A865" s="70">
        <v>1</v>
      </c>
      <c r="B865" s="70">
        <v>2</v>
      </c>
      <c r="C865" s="70" t="s">
        <v>41</v>
      </c>
      <c r="D865" s="70">
        <v>42</v>
      </c>
      <c r="E865" s="70">
        <v>0</v>
      </c>
      <c r="F865" s="70">
        <v>0</v>
      </c>
      <c r="G865" s="129">
        <v>13</v>
      </c>
      <c r="H865" s="70" t="s">
        <v>0</v>
      </c>
    </row>
    <row r="866" spans="1:8">
      <c r="A866" s="70">
        <v>1</v>
      </c>
      <c r="B866" s="70">
        <v>2</v>
      </c>
      <c r="C866" s="70" t="s">
        <v>41</v>
      </c>
      <c r="D866" s="70">
        <v>27</v>
      </c>
      <c r="E866" s="70">
        <v>1</v>
      </c>
      <c r="F866" s="70">
        <v>0</v>
      </c>
      <c r="G866" s="129">
        <v>13.8583</v>
      </c>
      <c r="H866" s="70" t="s">
        <v>1</v>
      </c>
    </row>
    <row r="867" spans="1:8">
      <c r="A867" s="70">
        <v>0</v>
      </c>
      <c r="B867" s="70">
        <v>1</v>
      </c>
      <c r="C867" s="70" t="s">
        <v>42</v>
      </c>
      <c r="D867" s="70">
        <v>31</v>
      </c>
      <c r="E867" s="70">
        <v>0</v>
      </c>
      <c r="F867" s="70">
        <v>0</v>
      </c>
      <c r="G867" s="129">
        <v>50.495800000000003</v>
      </c>
      <c r="H867" s="70" t="s">
        <v>0</v>
      </c>
    </row>
    <row r="868" spans="1:8">
      <c r="A868" s="70">
        <v>0</v>
      </c>
      <c r="B868" s="70">
        <v>3</v>
      </c>
      <c r="C868" s="70" t="s">
        <v>42</v>
      </c>
      <c r="D868" s="70">
        <v>29.7</v>
      </c>
      <c r="E868" s="70">
        <v>0</v>
      </c>
      <c r="F868" s="70">
        <v>0</v>
      </c>
      <c r="G868" s="129">
        <v>9.5</v>
      </c>
      <c r="H868" s="70" t="s">
        <v>0</v>
      </c>
    </row>
    <row r="869" spans="1:8">
      <c r="A869" s="70">
        <v>1</v>
      </c>
      <c r="B869" s="70">
        <v>3</v>
      </c>
      <c r="C869" s="70" t="s">
        <v>42</v>
      </c>
      <c r="D869" s="70">
        <v>4</v>
      </c>
      <c r="E869" s="70">
        <v>1</v>
      </c>
      <c r="F869" s="70">
        <v>1</v>
      </c>
      <c r="G869" s="129">
        <v>11.1333</v>
      </c>
      <c r="H869" s="70" t="s">
        <v>0</v>
      </c>
    </row>
    <row r="870" spans="1:8">
      <c r="A870" s="70">
        <v>0</v>
      </c>
      <c r="B870" s="70">
        <v>3</v>
      </c>
      <c r="C870" s="70" t="s">
        <v>42</v>
      </c>
      <c r="D870" s="70">
        <v>26</v>
      </c>
      <c r="E870" s="70">
        <v>0</v>
      </c>
      <c r="F870" s="70">
        <v>0</v>
      </c>
      <c r="G870" s="129">
        <v>7.8958000000000004</v>
      </c>
      <c r="H870" s="70" t="s">
        <v>0</v>
      </c>
    </row>
    <row r="871" spans="1:8">
      <c r="A871" s="70">
        <v>1</v>
      </c>
      <c r="B871" s="70">
        <v>1</v>
      </c>
      <c r="C871" s="70" t="s">
        <v>41</v>
      </c>
      <c r="D871" s="70">
        <v>47</v>
      </c>
      <c r="E871" s="70">
        <v>1</v>
      </c>
      <c r="F871" s="70">
        <v>1</v>
      </c>
      <c r="G871" s="129">
        <v>52.554200000000002</v>
      </c>
      <c r="H871" s="70" t="s">
        <v>0</v>
      </c>
    </row>
    <row r="872" spans="1:8">
      <c r="A872" s="70">
        <v>0</v>
      </c>
      <c r="B872" s="70">
        <v>1</v>
      </c>
      <c r="C872" s="70" t="s">
        <v>42</v>
      </c>
      <c r="D872" s="70">
        <v>33</v>
      </c>
      <c r="E872" s="70">
        <v>0</v>
      </c>
      <c r="F872" s="70">
        <v>0</v>
      </c>
      <c r="G872" s="129">
        <v>5</v>
      </c>
      <c r="H872" s="70" t="s">
        <v>0</v>
      </c>
    </row>
    <row r="873" spans="1:8">
      <c r="A873" s="70">
        <v>0</v>
      </c>
      <c r="B873" s="70">
        <v>3</v>
      </c>
      <c r="C873" s="70" t="s">
        <v>42</v>
      </c>
      <c r="D873" s="70">
        <v>47</v>
      </c>
      <c r="E873" s="70">
        <v>0</v>
      </c>
      <c r="F873" s="70">
        <v>0</v>
      </c>
      <c r="G873" s="129">
        <v>9</v>
      </c>
      <c r="H873" s="70" t="s">
        <v>0</v>
      </c>
    </row>
    <row r="874" spans="1:8">
      <c r="A874" s="70">
        <v>1</v>
      </c>
      <c r="B874" s="70">
        <v>2</v>
      </c>
      <c r="C874" s="70" t="s">
        <v>41</v>
      </c>
      <c r="D874" s="70">
        <v>28</v>
      </c>
      <c r="E874" s="70">
        <v>1</v>
      </c>
      <c r="F874" s="70">
        <v>0</v>
      </c>
      <c r="G874" s="129">
        <v>24</v>
      </c>
      <c r="H874" s="70" t="s">
        <v>1</v>
      </c>
    </row>
    <row r="875" spans="1:8">
      <c r="A875" s="70">
        <v>1</v>
      </c>
      <c r="B875" s="70">
        <v>3</v>
      </c>
      <c r="C875" s="70" t="s">
        <v>41</v>
      </c>
      <c r="D875" s="70">
        <v>15</v>
      </c>
      <c r="E875" s="70">
        <v>0</v>
      </c>
      <c r="F875" s="70">
        <v>0</v>
      </c>
      <c r="G875" s="129">
        <v>7.2249999999999996</v>
      </c>
      <c r="H875" s="70" t="s">
        <v>1</v>
      </c>
    </row>
    <row r="876" spans="1:8">
      <c r="A876" s="70">
        <v>0</v>
      </c>
      <c r="B876" s="70">
        <v>3</v>
      </c>
      <c r="C876" s="70" t="s">
        <v>42</v>
      </c>
      <c r="D876" s="70">
        <v>20</v>
      </c>
      <c r="E876" s="70">
        <v>0</v>
      </c>
      <c r="F876" s="70">
        <v>0</v>
      </c>
      <c r="G876" s="129">
        <v>9.8458000000000006</v>
      </c>
      <c r="H876" s="70" t="s">
        <v>0</v>
      </c>
    </row>
    <row r="877" spans="1:8">
      <c r="A877" s="70">
        <v>0</v>
      </c>
      <c r="B877" s="70">
        <v>3</v>
      </c>
      <c r="C877" s="70" t="s">
        <v>42</v>
      </c>
      <c r="D877" s="70">
        <v>19</v>
      </c>
      <c r="E877" s="70">
        <v>0</v>
      </c>
      <c r="F877" s="70">
        <v>0</v>
      </c>
      <c r="G877" s="129">
        <v>7.8958000000000004</v>
      </c>
      <c r="H877" s="70" t="s">
        <v>0</v>
      </c>
    </row>
    <row r="878" spans="1:8">
      <c r="A878" s="70">
        <v>0</v>
      </c>
      <c r="B878" s="70">
        <v>3</v>
      </c>
      <c r="C878" s="70" t="s">
        <v>42</v>
      </c>
      <c r="D878" s="70">
        <v>29.7</v>
      </c>
      <c r="E878" s="70">
        <v>0</v>
      </c>
      <c r="F878" s="70">
        <v>0</v>
      </c>
      <c r="G878" s="129">
        <v>7.8958000000000004</v>
      </c>
      <c r="H878" s="70" t="s">
        <v>0</v>
      </c>
    </row>
    <row r="879" spans="1:8">
      <c r="A879" s="70">
        <v>1</v>
      </c>
      <c r="B879" s="70">
        <v>1</v>
      </c>
      <c r="C879" s="70" t="s">
        <v>41</v>
      </c>
      <c r="D879" s="70">
        <v>56</v>
      </c>
      <c r="E879" s="70">
        <v>0</v>
      </c>
      <c r="F879" s="70">
        <v>1</v>
      </c>
      <c r="G879" s="129">
        <v>83.158299999999997</v>
      </c>
      <c r="H879" s="70" t="s">
        <v>1</v>
      </c>
    </row>
    <row r="880" spans="1:8">
      <c r="A880" s="70">
        <v>1</v>
      </c>
      <c r="B880" s="70">
        <v>2</v>
      </c>
      <c r="C880" s="70" t="s">
        <v>41</v>
      </c>
      <c r="D880" s="70">
        <v>25</v>
      </c>
      <c r="E880" s="70">
        <v>0</v>
      </c>
      <c r="F880" s="70">
        <v>1</v>
      </c>
      <c r="G880" s="129">
        <v>26</v>
      </c>
      <c r="H880" s="70" t="s">
        <v>0</v>
      </c>
    </row>
    <row r="881" spans="1:8">
      <c r="A881" s="70">
        <v>0</v>
      </c>
      <c r="B881" s="70">
        <v>3</v>
      </c>
      <c r="C881" s="70" t="s">
        <v>42</v>
      </c>
      <c r="D881" s="70">
        <v>33</v>
      </c>
      <c r="E881" s="70">
        <v>0</v>
      </c>
      <c r="F881" s="70">
        <v>0</v>
      </c>
      <c r="G881" s="129">
        <v>7.8958000000000004</v>
      </c>
      <c r="H881" s="70" t="s">
        <v>0</v>
      </c>
    </row>
    <row r="882" spans="1:8">
      <c r="A882" s="70">
        <v>0</v>
      </c>
      <c r="B882" s="70">
        <v>3</v>
      </c>
      <c r="C882" s="70" t="s">
        <v>41</v>
      </c>
      <c r="D882" s="70">
        <v>22</v>
      </c>
      <c r="E882" s="70">
        <v>0</v>
      </c>
      <c r="F882" s="70">
        <v>0</v>
      </c>
      <c r="G882" s="129">
        <v>10.5167</v>
      </c>
      <c r="H882" s="70" t="s">
        <v>0</v>
      </c>
    </row>
    <row r="883" spans="1:8">
      <c r="A883" s="70">
        <v>0</v>
      </c>
      <c r="B883" s="70">
        <v>2</v>
      </c>
      <c r="C883" s="70" t="s">
        <v>42</v>
      </c>
      <c r="D883" s="70">
        <v>28</v>
      </c>
      <c r="E883" s="70">
        <v>0</v>
      </c>
      <c r="F883" s="70">
        <v>0</v>
      </c>
      <c r="G883" s="129">
        <v>10.5</v>
      </c>
      <c r="H883" s="70" t="s">
        <v>0</v>
      </c>
    </row>
    <row r="884" spans="1:8">
      <c r="A884" s="70">
        <v>0</v>
      </c>
      <c r="B884" s="70">
        <v>3</v>
      </c>
      <c r="C884" s="70" t="s">
        <v>42</v>
      </c>
      <c r="D884" s="70">
        <v>25</v>
      </c>
      <c r="E884" s="70">
        <v>0</v>
      </c>
      <c r="F884" s="70">
        <v>0</v>
      </c>
      <c r="G884" s="129">
        <v>7.05</v>
      </c>
      <c r="H884" s="70" t="s">
        <v>0</v>
      </c>
    </row>
    <row r="885" spans="1:8">
      <c r="A885" s="70">
        <v>0</v>
      </c>
      <c r="B885" s="70">
        <v>3</v>
      </c>
      <c r="C885" s="70" t="s">
        <v>41</v>
      </c>
      <c r="D885" s="70">
        <v>39</v>
      </c>
      <c r="E885" s="70">
        <v>0</v>
      </c>
      <c r="F885" s="70">
        <v>5</v>
      </c>
      <c r="G885" s="129">
        <v>29.125</v>
      </c>
      <c r="H885" s="70" t="s">
        <v>2</v>
      </c>
    </row>
    <row r="886" spans="1:8">
      <c r="A886" s="70">
        <v>0</v>
      </c>
      <c r="B886" s="70">
        <v>2</v>
      </c>
      <c r="C886" s="70" t="s">
        <v>42</v>
      </c>
      <c r="D886" s="70">
        <v>27</v>
      </c>
      <c r="E886" s="70">
        <v>0</v>
      </c>
      <c r="F886" s="70">
        <v>0</v>
      </c>
      <c r="G886" s="129">
        <v>13</v>
      </c>
      <c r="H886" s="70" t="s">
        <v>0</v>
      </c>
    </row>
    <row r="887" spans="1:8">
      <c r="A887" s="70">
        <v>1</v>
      </c>
      <c r="B887" s="70">
        <v>1</v>
      </c>
      <c r="C887" s="70" t="s">
        <v>41</v>
      </c>
      <c r="D887" s="70">
        <v>19</v>
      </c>
      <c r="E887" s="70">
        <v>0</v>
      </c>
      <c r="F887" s="70">
        <v>0</v>
      </c>
      <c r="G887" s="129">
        <v>30</v>
      </c>
      <c r="H887" s="70" t="s">
        <v>0</v>
      </c>
    </row>
    <row r="888" spans="1:8">
      <c r="A888" s="70">
        <v>0</v>
      </c>
      <c r="B888" s="70">
        <v>3</v>
      </c>
      <c r="C888" s="70" t="s">
        <v>41</v>
      </c>
      <c r="D888" s="70">
        <v>29.7</v>
      </c>
      <c r="E888" s="70">
        <v>1</v>
      </c>
      <c r="F888" s="70">
        <v>2</v>
      </c>
      <c r="G888" s="129">
        <v>23.45</v>
      </c>
      <c r="H888" s="70" t="s">
        <v>0</v>
      </c>
    </row>
    <row r="889" spans="1:8">
      <c r="A889" s="70">
        <v>1</v>
      </c>
      <c r="B889" s="70">
        <v>1</v>
      </c>
      <c r="C889" s="70" t="s">
        <v>42</v>
      </c>
      <c r="D889" s="70">
        <v>26</v>
      </c>
      <c r="E889" s="70">
        <v>0</v>
      </c>
      <c r="F889" s="70">
        <v>0</v>
      </c>
      <c r="G889" s="129">
        <v>30</v>
      </c>
      <c r="H889" s="70" t="s">
        <v>1</v>
      </c>
    </row>
    <row r="890" spans="1:8">
      <c r="A890" s="70">
        <v>0</v>
      </c>
      <c r="B890" s="70">
        <v>3</v>
      </c>
      <c r="C890" s="70" t="s">
        <v>42</v>
      </c>
      <c r="D890" s="70">
        <v>32</v>
      </c>
      <c r="E890" s="70">
        <v>0</v>
      </c>
      <c r="F890" s="70">
        <v>0</v>
      </c>
      <c r="G890" s="129">
        <v>7.75</v>
      </c>
      <c r="H890" s="70" t="s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A185-D4D0-48F8-B6BA-AF6306B7D74E}">
  <dimension ref="A1:GB890"/>
  <sheetViews>
    <sheetView zoomScale="88" zoomScaleNormal="115" workbookViewId="0">
      <selection activeCell="E1" sqref="E1:J1"/>
    </sheetView>
  </sheetViews>
  <sheetFormatPr defaultRowHeight="15"/>
  <cols>
    <col min="1" max="1" width="14.85546875" customWidth="1"/>
    <col min="3" max="3" width="18" customWidth="1"/>
    <col min="5" max="5" width="10.5703125" bestFit="1" customWidth="1"/>
    <col min="6" max="7" width="11.7109375" bestFit="1" customWidth="1"/>
    <col min="15" max="15" width="1.28515625" customWidth="1"/>
    <col min="18" max="18" width="18.140625" customWidth="1"/>
    <col min="19" max="19" width="14.42578125" customWidth="1"/>
    <col min="21" max="22" width="11.7109375" bestFit="1" customWidth="1"/>
    <col min="24" max="24" width="11.7109375" bestFit="1" customWidth="1"/>
    <col min="25" max="25" width="13.28515625" customWidth="1"/>
    <col min="30" max="30" width="1.28515625" customWidth="1"/>
    <col min="33" max="33" width="17.42578125" customWidth="1"/>
    <col min="47" max="47" width="1.28515625" customWidth="1"/>
    <col min="50" max="50" width="8.85546875" customWidth="1"/>
    <col min="51" max="51" width="9.5703125" customWidth="1"/>
    <col min="52" max="52" width="14.28515625" customWidth="1"/>
    <col min="53" max="58" width="9.42578125" customWidth="1"/>
    <col min="59" max="62" width="11.140625" customWidth="1"/>
    <col min="66" max="66" width="1.28515625" customWidth="1"/>
    <col min="67" max="67" width="21.5703125" customWidth="1"/>
    <col min="69" max="69" width="23.85546875" customWidth="1"/>
    <col min="70" max="70" width="11.7109375" customWidth="1"/>
    <col min="71" max="77" width="11.28515625" customWidth="1"/>
    <col min="78" max="79" width="12.42578125" customWidth="1"/>
    <col min="84" max="84" width="1.28515625" customWidth="1"/>
    <col min="86" max="86" width="7.7109375" customWidth="1"/>
    <col min="87" max="87" width="19.5703125" customWidth="1"/>
    <col min="105" max="105" width="1.28515625" customWidth="1"/>
    <col min="106" max="106" width="12.28515625" customWidth="1"/>
    <col min="108" max="108" width="15" customWidth="1"/>
    <col min="129" max="129" width="1.28515625" customWidth="1"/>
    <col min="146" max="146" width="1.28515625" customWidth="1"/>
    <col min="164" max="164" width="34.28515625" customWidth="1"/>
    <col min="182" max="182" width="41.5703125" customWidth="1"/>
  </cols>
  <sheetData>
    <row r="1" spans="1:54" ht="15.75">
      <c r="A1" s="45" t="s">
        <v>16</v>
      </c>
      <c r="C1" s="45" t="s">
        <v>11</v>
      </c>
      <c r="E1" s="128" t="s">
        <v>286</v>
      </c>
      <c r="F1" s="105"/>
      <c r="G1" s="105"/>
      <c r="H1" s="105"/>
      <c r="I1" s="105"/>
      <c r="J1" s="105"/>
      <c r="O1" s="6"/>
      <c r="P1" s="45" t="s">
        <v>4</v>
      </c>
      <c r="R1" s="45" t="s">
        <v>11</v>
      </c>
      <c r="AD1" s="6"/>
      <c r="AE1" s="45" t="s">
        <v>5</v>
      </c>
      <c r="AF1" s="45"/>
      <c r="AG1" s="45" t="s">
        <v>11</v>
      </c>
      <c r="AU1" s="6"/>
      <c r="AV1" s="45" t="s">
        <v>10</v>
      </c>
      <c r="AX1" s="45" t="s">
        <v>11</v>
      </c>
    </row>
    <row r="2" spans="1:54" ht="17.25">
      <c r="A2">
        <v>0</v>
      </c>
      <c r="C2" s="44" t="s">
        <v>12</v>
      </c>
      <c r="O2" s="6"/>
      <c r="P2">
        <v>1</v>
      </c>
      <c r="R2" s="44" t="s">
        <v>38</v>
      </c>
      <c r="AD2" s="6"/>
      <c r="AE2" t="s">
        <v>41</v>
      </c>
      <c r="AG2" s="44" t="s">
        <v>67</v>
      </c>
      <c r="AU2" s="6"/>
      <c r="AV2" t="s">
        <v>1</v>
      </c>
      <c r="AX2" s="43" t="s">
        <v>117</v>
      </c>
    </row>
    <row r="3" spans="1:54">
      <c r="A3">
        <v>0</v>
      </c>
      <c r="O3" s="6"/>
      <c r="P3">
        <v>1</v>
      </c>
      <c r="W3" s="52" t="s">
        <v>65</v>
      </c>
      <c r="X3" s="52"/>
      <c r="Y3" s="52"/>
      <c r="Z3" s="52" t="s">
        <v>66</v>
      </c>
      <c r="AA3" s="52"/>
      <c r="AB3" s="52"/>
      <c r="AD3" s="6"/>
      <c r="AE3" t="s">
        <v>41</v>
      </c>
      <c r="AU3" s="6"/>
      <c r="AV3" t="s">
        <v>1</v>
      </c>
    </row>
    <row r="4" spans="1:54" ht="15.75" thickBot="1">
      <c r="A4">
        <v>0</v>
      </c>
      <c r="C4" s="37" t="s">
        <v>81</v>
      </c>
      <c r="D4" s="38" t="s">
        <v>36</v>
      </c>
      <c r="E4" s="38" t="s">
        <v>13</v>
      </c>
      <c r="F4" s="38" t="s">
        <v>14</v>
      </c>
      <c r="G4" s="38" t="s">
        <v>15</v>
      </c>
      <c r="O4" s="6"/>
      <c r="P4">
        <v>1</v>
      </c>
      <c r="R4" s="39" t="s">
        <v>81</v>
      </c>
      <c r="S4" s="40" t="s">
        <v>36</v>
      </c>
      <c r="T4" s="40" t="s">
        <v>13</v>
      </c>
      <c r="U4" s="40" t="s">
        <v>14</v>
      </c>
      <c r="V4" s="40" t="s">
        <v>15</v>
      </c>
      <c r="W4" s="40" t="s">
        <v>27</v>
      </c>
      <c r="X4" s="40" t="s">
        <v>28</v>
      </c>
      <c r="Y4" s="40" t="s">
        <v>29</v>
      </c>
      <c r="Z4" s="40" t="s">
        <v>30</v>
      </c>
      <c r="AA4" s="40" t="s">
        <v>31</v>
      </c>
      <c r="AB4" s="40" t="s">
        <v>32</v>
      </c>
      <c r="AD4" s="6"/>
      <c r="AE4" t="s">
        <v>41</v>
      </c>
      <c r="AG4" s="37" t="s">
        <v>81</v>
      </c>
      <c r="AH4" s="38" t="s">
        <v>36</v>
      </c>
      <c r="AI4" s="38" t="s">
        <v>13</v>
      </c>
      <c r="AJ4" s="38" t="s">
        <v>14</v>
      </c>
      <c r="AK4" s="38" t="s">
        <v>15</v>
      </c>
      <c r="AU4" s="6"/>
      <c r="AV4" t="s">
        <v>1</v>
      </c>
      <c r="AX4" s="39" t="s">
        <v>99</v>
      </c>
      <c r="AY4" s="40" t="s">
        <v>36</v>
      </c>
      <c r="AZ4" s="40" t="s">
        <v>13</v>
      </c>
      <c r="BA4" s="40" t="s">
        <v>14</v>
      </c>
      <c r="BB4" s="40" t="s">
        <v>15</v>
      </c>
    </row>
    <row r="5" spans="1:54" ht="16.5" thickTop="1" thickBot="1">
      <c r="A5">
        <v>0</v>
      </c>
      <c r="C5" s="8" t="s">
        <v>17</v>
      </c>
      <c r="D5" s="9">
        <v>0</v>
      </c>
      <c r="E5" s="9">
        <f t="array" ref="E5:E6">FREQUENCY(A2:A890, D5:D6)</f>
        <v>549</v>
      </c>
      <c r="F5" s="34">
        <f>E5/$E$7</f>
        <v>0.61754780652418451</v>
      </c>
      <c r="G5" s="10">
        <f>F5</f>
        <v>0.61754780652418451</v>
      </c>
      <c r="O5" s="6"/>
      <c r="P5">
        <v>1</v>
      </c>
      <c r="R5" s="17" t="s">
        <v>33</v>
      </c>
      <c r="S5" s="16">
        <v>1</v>
      </c>
      <c r="T5" s="17">
        <f t="array" ref="T5:T7">FREQUENCY(P2:P890, S5:S7)</f>
        <v>214</v>
      </c>
      <c r="U5" s="18">
        <f>T5/$T$8</f>
        <v>0.24071991001124859</v>
      </c>
      <c r="V5" s="19">
        <f>U5</f>
        <v>0.24071991001124859</v>
      </c>
      <c r="W5" s="17">
        <f>T5</f>
        <v>214</v>
      </c>
      <c r="X5" s="18">
        <f>U5</f>
        <v>0.24071991001124859</v>
      </c>
      <c r="Y5" s="19">
        <f>V5</f>
        <v>0.24071991001124859</v>
      </c>
      <c r="Z5" s="17" cm="1">
        <f t="array" ref="Z5:AB5">T8:V8</f>
        <v>889</v>
      </c>
      <c r="AA5" s="18">
        <v>1</v>
      </c>
      <c r="AB5" s="19">
        <v>1</v>
      </c>
      <c r="AD5" s="6"/>
      <c r="AE5" t="s">
        <v>41</v>
      </c>
      <c r="AG5" s="8" t="s">
        <v>43</v>
      </c>
      <c r="AH5" s="30" t="s">
        <v>41</v>
      </c>
      <c r="AI5" s="9">
        <f>COUNTIF(AE2:AE890, "mujer")</f>
        <v>312</v>
      </c>
      <c r="AJ5" s="34">
        <f>AI5/$E$7</f>
        <v>0.35095613048368957</v>
      </c>
      <c r="AK5" s="10">
        <f>AJ5</f>
        <v>0.35095613048368957</v>
      </c>
      <c r="AU5" s="6"/>
      <c r="AV5" t="s">
        <v>1</v>
      </c>
      <c r="AX5" s="24" t="s">
        <v>98</v>
      </c>
      <c r="AY5" s="20" t="s">
        <v>2</v>
      </c>
      <c r="AZ5" s="15">
        <f>COUNTIF(AV2:AV890, "Q")</f>
        <v>77</v>
      </c>
      <c r="BA5" s="49">
        <f>AZ5/$AZ$8</f>
        <v>8.6614173228346455E-2</v>
      </c>
      <c r="BB5" s="19">
        <f>BA5</f>
        <v>8.6614173228346455E-2</v>
      </c>
    </row>
    <row r="6" spans="1:54" ht="17.25" customHeight="1" thickTop="1" thickBot="1">
      <c r="A6">
        <v>0</v>
      </c>
      <c r="C6" s="8" t="s">
        <v>16</v>
      </c>
      <c r="D6" s="12">
        <v>1</v>
      </c>
      <c r="E6" s="12">
        <v>340</v>
      </c>
      <c r="F6" s="35">
        <f>E6/$E$7</f>
        <v>0.38245219347581555</v>
      </c>
      <c r="G6" s="13">
        <f>F6</f>
        <v>0.38245219347581555</v>
      </c>
      <c r="O6" s="6"/>
      <c r="P6">
        <v>1</v>
      </c>
      <c r="R6" s="15" t="s">
        <v>34</v>
      </c>
      <c r="S6" s="20">
        <v>2</v>
      </c>
      <c r="T6" s="15">
        <v>184</v>
      </c>
      <c r="U6" s="18">
        <f>T6/$T$8</f>
        <v>0.20697412823397077</v>
      </c>
      <c r="V6" s="22">
        <f t="shared" ref="V6:V7" si="0">U6</f>
        <v>0.20697412823397077</v>
      </c>
      <c r="W6" s="15">
        <f t="shared" ref="W6:Y7" si="1">W5+T6</f>
        <v>398</v>
      </c>
      <c r="X6" s="21">
        <f t="shared" si="1"/>
        <v>0.44769403824521936</v>
      </c>
      <c r="Y6" s="22">
        <f t="shared" si="1"/>
        <v>0.44769403824521936</v>
      </c>
      <c r="Z6" s="15" cm="1">
        <f t="array" ref="Z6:AB6">_xlfn.ANCHORARRAY(Z5)-T5:V5</f>
        <v>675</v>
      </c>
      <c r="AA6" s="21">
        <v>0.75928008998875141</v>
      </c>
      <c r="AB6" s="22">
        <v>0.75928008998875141</v>
      </c>
      <c r="AD6" s="6"/>
      <c r="AE6" t="s">
        <v>41</v>
      </c>
      <c r="AG6" s="11" t="s">
        <v>44</v>
      </c>
      <c r="AH6" s="31" t="s">
        <v>42</v>
      </c>
      <c r="AI6" s="12">
        <f>COUNTIF(AE2:AE890, "hombre")</f>
        <v>577</v>
      </c>
      <c r="AJ6" s="35">
        <f>AI6/$E$7</f>
        <v>0.64904386951631043</v>
      </c>
      <c r="AK6" s="13">
        <f>AJ6</f>
        <v>0.64904386951631043</v>
      </c>
      <c r="AU6" s="6"/>
      <c r="AV6" t="s">
        <v>1</v>
      </c>
      <c r="AX6" s="15" t="s">
        <v>97</v>
      </c>
      <c r="AY6" s="16" t="s">
        <v>1</v>
      </c>
      <c r="AZ6" s="17">
        <f>COUNTIF(AV2:AV890, "C")</f>
        <v>168</v>
      </c>
      <c r="BA6" s="49">
        <f>AZ6/$AZ$8</f>
        <v>0.1889763779527559</v>
      </c>
      <c r="BB6" s="22">
        <f t="shared" ref="BB6:BB7" si="2">BA6</f>
        <v>0.1889763779527559</v>
      </c>
    </row>
    <row r="7" spans="1:54" ht="15.75" thickTop="1">
      <c r="A7">
        <v>0</v>
      </c>
      <c r="C7" s="14" t="s">
        <v>18</v>
      </c>
      <c r="D7" s="7"/>
      <c r="E7" s="27">
        <f>SUM(E5:E6)</f>
        <v>889</v>
      </c>
      <c r="F7" s="36">
        <f>SUM(F5:F6)</f>
        <v>1</v>
      </c>
      <c r="G7" s="29">
        <f>SUM(G5:G6)</f>
        <v>1</v>
      </c>
      <c r="O7" s="6"/>
      <c r="P7">
        <v>1</v>
      </c>
      <c r="R7" s="24" t="s">
        <v>35</v>
      </c>
      <c r="S7" s="23">
        <v>3</v>
      </c>
      <c r="T7" s="24">
        <v>491</v>
      </c>
      <c r="U7" s="18">
        <f>T7/$T$8</f>
        <v>0.55230596175478064</v>
      </c>
      <c r="V7" s="26">
        <f t="shared" si="0"/>
        <v>0.55230596175478064</v>
      </c>
      <c r="W7" s="27">
        <f t="shared" si="1"/>
        <v>889</v>
      </c>
      <c r="X7" s="28">
        <f t="shared" si="1"/>
        <v>1</v>
      </c>
      <c r="Y7" s="29">
        <f t="shared" si="1"/>
        <v>1</v>
      </c>
      <c r="Z7" s="24" cm="1">
        <f t="array" ref="Z7:AB7">_xlfn.ANCHORARRAY(Z6)-T6:V6</f>
        <v>491</v>
      </c>
      <c r="AA7" s="25">
        <v>0.55230596175478064</v>
      </c>
      <c r="AB7" s="26">
        <v>0.55230596175478064</v>
      </c>
      <c r="AD7" s="6"/>
      <c r="AE7" t="s">
        <v>41</v>
      </c>
      <c r="AG7" s="14" t="s">
        <v>18</v>
      </c>
      <c r="AH7" s="7"/>
      <c r="AI7" s="27">
        <f>SUM(AI5:AI6)</f>
        <v>889</v>
      </c>
      <c r="AJ7" s="36">
        <f t="shared" ref="AJ7:AK7" si="3">SUM(AJ5:AJ6)</f>
        <v>1</v>
      </c>
      <c r="AK7" s="29">
        <f t="shared" si="3"/>
        <v>1</v>
      </c>
      <c r="AU7" s="6"/>
      <c r="AV7" t="s">
        <v>1</v>
      </c>
      <c r="AX7" s="17" t="s">
        <v>96</v>
      </c>
      <c r="AY7" s="23" t="s">
        <v>0</v>
      </c>
      <c r="AZ7" s="24">
        <f>COUNTIF(AV2:AV890, "S")</f>
        <v>644</v>
      </c>
      <c r="BA7" s="49">
        <f>AZ7/$AZ$8</f>
        <v>0.72440944881889768</v>
      </c>
      <c r="BB7" s="26">
        <f t="shared" si="2"/>
        <v>0.72440944881889768</v>
      </c>
    </row>
    <row r="8" spans="1:54">
      <c r="A8">
        <v>0</v>
      </c>
      <c r="O8" s="6"/>
      <c r="P8">
        <v>1</v>
      </c>
      <c r="R8" s="32" t="s">
        <v>18</v>
      </c>
      <c r="S8" s="15"/>
      <c r="T8" s="27">
        <f>SUM(T5:T7)</f>
        <v>889</v>
      </c>
      <c r="U8" s="28">
        <f t="shared" ref="U8:V8" si="4">SUM(U5:U7)</f>
        <v>1</v>
      </c>
      <c r="V8" s="29">
        <f t="shared" si="4"/>
        <v>1</v>
      </c>
      <c r="W8" s="15"/>
      <c r="X8" s="15"/>
      <c r="Y8" s="15"/>
      <c r="Z8" s="15"/>
      <c r="AA8" s="15"/>
      <c r="AB8" s="15"/>
      <c r="AD8" s="6"/>
      <c r="AE8" t="s">
        <v>41</v>
      </c>
      <c r="AU8" s="6"/>
      <c r="AV8" t="s">
        <v>1</v>
      </c>
      <c r="AX8" s="32" t="s">
        <v>18</v>
      </c>
      <c r="AY8" s="15"/>
      <c r="AZ8" s="27">
        <f>SUM(AZ5:AZ7)</f>
        <v>889</v>
      </c>
      <c r="BA8" s="50">
        <f t="shared" ref="BA8:BB8" si="5">SUM(BA5:BA7)</f>
        <v>1</v>
      </c>
      <c r="BB8" s="51">
        <f t="shared" si="5"/>
        <v>1</v>
      </c>
    </row>
    <row r="9" spans="1:54" ht="15.75">
      <c r="A9">
        <v>0</v>
      </c>
      <c r="C9" s="44" t="s">
        <v>19</v>
      </c>
      <c r="O9" s="6"/>
      <c r="P9">
        <v>1</v>
      </c>
      <c r="AD9" s="6"/>
      <c r="AE9" t="s">
        <v>41</v>
      </c>
      <c r="AG9" s="44" t="s">
        <v>19</v>
      </c>
      <c r="AU9" s="6"/>
      <c r="AV9" t="s">
        <v>1</v>
      </c>
    </row>
    <row r="10" spans="1:54" ht="17.25">
      <c r="A10">
        <v>0</v>
      </c>
      <c r="C10" s="5" t="s">
        <v>48</v>
      </c>
      <c r="O10" s="6"/>
      <c r="P10">
        <v>1</v>
      </c>
      <c r="R10" s="44" t="s">
        <v>19</v>
      </c>
      <c r="AD10" s="6"/>
      <c r="AE10" t="s">
        <v>41</v>
      </c>
      <c r="AG10" s="5" t="s">
        <v>54</v>
      </c>
      <c r="AU10" s="6"/>
      <c r="AV10" t="s">
        <v>1</v>
      </c>
      <c r="AX10" s="44" t="s">
        <v>19</v>
      </c>
    </row>
    <row r="11" spans="1:54" ht="17.25">
      <c r="A11">
        <v>0</v>
      </c>
      <c r="C11" s="5" t="s">
        <v>49</v>
      </c>
      <c r="O11" s="6"/>
      <c r="P11">
        <v>1</v>
      </c>
      <c r="R11" s="5" t="s">
        <v>50</v>
      </c>
      <c r="AD11" s="6"/>
      <c r="AE11" t="s">
        <v>41</v>
      </c>
      <c r="AG11" s="5" t="s">
        <v>45</v>
      </c>
      <c r="AU11" s="6"/>
      <c r="AV11" t="s">
        <v>1</v>
      </c>
      <c r="AX11" s="5" t="s">
        <v>100</v>
      </c>
    </row>
    <row r="12" spans="1:54" ht="17.25">
      <c r="A12">
        <v>0</v>
      </c>
      <c r="C12" s="5" t="s">
        <v>21</v>
      </c>
      <c r="O12" s="6"/>
      <c r="P12">
        <v>1</v>
      </c>
      <c r="R12" s="5" t="s">
        <v>51</v>
      </c>
      <c r="AD12" s="6"/>
      <c r="AE12" t="s">
        <v>41</v>
      </c>
      <c r="AG12" s="5" t="s">
        <v>46</v>
      </c>
      <c r="AU12" s="6"/>
      <c r="AV12" t="s">
        <v>1</v>
      </c>
      <c r="AX12" s="46" t="s">
        <v>101</v>
      </c>
    </row>
    <row r="13" spans="1:54" ht="17.25">
      <c r="A13">
        <v>0</v>
      </c>
      <c r="C13" s="5" t="s">
        <v>22</v>
      </c>
      <c r="O13" s="6"/>
      <c r="P13">
        <v>1</v>
      </c>
      <c r="R13" s="5" t="s">
        <v>37</v>
      </c>
      <c r="AD13" s="6"/>
      <c r="AE13" t="s">
        <v>41</v>
      </c>
      <c r="AG13" s="5" t="s">
        <v>47</v>
      </c>
      <c r="AU13" s="6"/>
      <c r="AV13" t="s">
        <v>1</v>
      </c>
      <c r="AX13" s="5" t="s">
        <v>102</v>
      </c>
    </row>
    <row r="14" spans="1:54" ht="17.25">
      <c r="A14">
        <v>0</v>
      </c>
      <c r="O14" s="6"/>
      <c r="P14">
        <v>1</v>
      </c>
      <c r="R14" s="5" t="s">
        <v>52</v>
      </c>
      <c r="AD14" s="6"/>
      <c r="AE14" t="s">
        <v>41</v>
      </c>
      <c r="AG14" s="5" t="s">
        <v>53</v>
      </c>
      <c r="AU14" s="6"/>
      <c r="AV14" t="s">
        <v>1</v>
      </c>
      <c r="AX14" s="46" t="s">
        <v>103</v>
      </c>
    </row>
    <row r="15" spans="1:54" ht="15.75">
      <c r="A15">
        <v>0</v>
      </c>
      <c r="C15" s="44" t="s">
        <v>20</v>
      </c>
      <c r="O15" s="6"/>
      <c r="P15">
        <v>1</v>
      </c>
      <c r="AD15" s="6"/>
      <c r="AE15" t="s">
        <v>41</v>
      </c>
      <c r="AU15" s="6"/>
      <c r="AV15" t="s">
        <v>1</v>
      </c>
    </row>
    <row r="16" spans="1:54" ht="15.75">
      <c r="A16">
        <v>0</v>
      </c>
      <c r="C16" s="3" t="s">
        <v>26</v>
      </c>
      <c r="O16" s="6"/>
      <c r="P16">
        <v>1</v>
      </c>
      <c r="R16" s="44" t="s">
        <v>20</v>
      </c>
      <c r="AD16" s="6"/>
      <c r="AE16" t="s">
        <v>41</v>
      </c>
      <c r="AG16" s="44" t="s">
        <v>20</v>
      </c>
      <c r="AU16" s="6"/>
      <c r="AV16" t="s">
        <v>1</v>
      </c>
      <c r="AX16" s="44" t="s">
        <v>20</v>
      </c>
    </row>
    <row r="17" spans="1:50">
      <c r="A17">
        <v>0</v>
      </c>
      <c r="C17" s="4" t="s">
        <v>23</v>
      </c>
      <c r="O17" s="6"/>
      <c r="P17">
        <v>1</v>
      </c>
      <c r="R17" s="3" t="s">
        <v>26</v>
      </c>
      <c r="AD17" s="6"/>
      <c r="AE17" t="s">
        <v>41</v>
      </c>
      <c r="AG17" s="3" t="s">
        <v>26</v>
      </c>
      <c r="AU17" s="6"/>
      <c r="AV17" t="s">
        <v>1</v>
      </c>
      <c r="AX17" s="3" t="s">
        <v>26</v>
      </c>
    </row>
    <row r="18" spans="1:50">
      <c r="A18">
        <v>0</v>
      </c>
      <c r="O18" s="6"/>
      <c r="P18">
        <v>1</v>
      </c>
      <c r="R18" s="4" t="s">
        <v>39</v>
      </c>
      <c r="AD18" s="6"/>
      <c r="AE18" t="s">
        <v>41</v>
      </c>
      <c r="AG18" s="4" t="s">
        <v>23</v>
      </c>
      <c r="AU18" s="6"/>
      <c r="AV18" t="s">
        <v>1</v>
      </c>
      <c r="AX18" s="4" t="s">
        <v>104</v>
      </c>
    </row>
    <row r="19" spans="1:50">
      <c r="A19">
        <v>0</v>
      </c>
      <c r="O19" s="6"/>
      <c r="P19">
        <v>1</v>
      </c>
      <c r="AD19" s="6"/>
      <c r="AE19" t="s">
        <v>41</v>
      </c>
      <c r="AU19" s="6"/>
      <c r="AV19" t="s">
        <v>1</v>
      </c>
    </row>
    <row r="20" spans="1:50">
      <c r="A20">
        <v>0</v>
      </c>
      <c r="O20" s="6"/>
      <c r="P20">
        <v>1</v>
      </c>
      <c r="AD20" s="6"/>
      <c r="AE20" t="s">
        <v>41</v>
      </c>
      <c r="AU20" s="6"/>
      <c r="AV20" t="s">
        <v>1</v>
      </c>
    </row>
    <row r="21" spans="1:50">
      <c r="A21">
        <v>0</v>
      </c>
      <c r="O21" s="6"/>
      <c r="P21">
        <v>1</v>
      </c>
      <c r="AD21" s="6"/>
      <c r="AE21" t="s">
        <v>41</v>
      </c>
      <c r="AU21" s="6"/>
      <c r="AV21" t="s">
        <v>1</v>
      </c>
    </row>
    <row r="22" spans="1:50">
      <c r="A22">
        <v>0</v>
      </c>
      <c r="O22" s="6"/>
      <c r="P22">
        <v>1</v>
      </c>
      <c r="AD22" s="6"/>
      <c r="AE22" t="s">
        <v>41</v>
      </c>
      <c r="AU22" s="6"/>
      <c r="AV22" t="s">
        <v>1</v>
      </c>
    </row>
    <row r="23" spans="1:50">
      <c r="A23">
        <v>0</v>
      </c>
      <c r="O23" s="6"/>
      <c r="P23">
        <v>1</v>
      </c>
      <c r="AD23" s="6"/>
      <c r="AE23" t="s">
        <v>41</v>
      </c>
      <c r="AU23" s="6"/>
      <c r="AV23" t="s">
        <v>1</v>
      </c>
    </row>
    <row r="24" spans="1:50">
      <c r="A24">
        <v>0</v>
      </c>
      <c r="O24" s="6"/>
      <c r="P24">
        <v>1</v>
      </c>
      <c r="AD24" s="6"/>
      <c r="AE24" t="s">
        <v>41</v>
      </c>
      <c r="AU24" s="6"/>
      <c r="AV24" t="s">
        <v>1</v>
      </c>
    </row>
    <row r="25" spans="1:50">
      <c r="A25">
        <v>0</v>
      </c>
      <c r="O25" s="6"/>
      <c r="P25">
        <v>1</v>
      </c>
      <c r="AD25" s="6"/>
      <c r="AE25" t="s">
        <v>41</v>
      </c>
      <c r="AU25" s="6"/>
      <c r="AV25" t="s">
        <v>1</v>
      </c>
    </row>
    <row r="26" spans="1:50">
      <c r="A26">
        <v>0</v>
      </c>
      <c r="O26" s="6"/>
      <c r="P26">
        <v>1</v>
      </c>
      <c r="AD26" s="6"/>
      <c r="AE26" t="s">
        <v>41</v>
      </c>
      <c r="AU26" s="6"/>
      <c r="AV26" t="s">
        <v>1</v>
      </c>
    </row>
    <row r="27" spans="1:50">
      <c r="A27">
        <v>0</v>
      </c>
      <c r="O27" s="6"/>
      <c r="P27">
        <v>1</v>
      </c>
      <c r="AD27" s="6"/>
      <c r="AE27" t="s">
        <v>41</v>
      </c>
      <c r="AU27" s="6"/>
      <c r="AV27" t="s">
        <v>1</v>
      </c>
    </row>
    <row r="28" spans="1:50">
      <c r="A28">
        <v>0</v>
      </c>
      <c r="O28" s="6"/>
      <c r="P28">
        <v>1</v>
      </c>
      <c r="AD28" s="6"/>
      <c r="AE28" t="s">
        <v>41</v>
      </c>
      <c r="AU28" s="6"/>
      <c r="AV28" t="s">
        <v>1</v>
      </c>
    </row>
    <row r="29" spans="1:50">
      <c r="A29">
        <v>0</v>
      </c>
      <c r="O29" s="6"/>
      <c r="P29">
        <v>1</v>
      </c>
      <c r="AD29" s="6"/>
      <c r="AE29" t="s">
        <v>41</v>
      </c>
      <c r="AU29" s="6"/>
      <c r="AV29" t="s">
        <v>1</v>
      </c>
    </row>
    <row r="30" spans="1:50">
      <c r="A30">
        <v>0</v>
      </c>
      <c r="C30" s="1" t="s">
        <v>24</v>
      </c>
      <c r="O30" s="6"/>
      <c r="P30">
        <v>1</v>
      </c>
      <c r="AD30" s="6"/>
      <c r="AE30" t="s">
        <v>41</v>
      </c>
      <c r="AU30" s="6"/>
      <c r="AV30" t="s">
        <v>1</v>
      </c>
    </row>
    <row r="31" spans="1:50">
      <c r="A31">
        <v>0</v>
      </c>
      <c r="O31" s="6"/>
      <c r="P31">
        <v>1</v>
      </c>
      <c r="R31" s="1" t="s">
        <v>24</v>
      </c>
      <c r="AD31" s="6"/>
      <c r="AE31" t="s">
        <v>41</v>
      </c>
      <c r="AG31" s="1" t="s">
        <v>24</v>
      </c>
      <c r="AU31" s="6"/>
      <c r="AV31" t="s">
        <v>1</v>
      </c>
      <c r="AX31" s="1" t="s">
        <v>24</v>
      </c>
    </row>
    <row r="32" spans="1:50">
      <c r="A32">
        <v>0</v>
      </c>
      <c r="O32" s="6"/>
      <c r="P32">
        <v>1</v>
      </c>
      <c r="AD32" s="6"/>
      <c r="AE32" t="s">
        <v>41</v>
      </c>
      <c r="AU32" s="6"/>
      <c r="AV32" t="s">
        <v>1</v>
      </c>
    </row>
    <row r="33" spans="1:50">
      <c r="A33">
        <v>0</v>
      </c>
      <c r="C33" s="2" t="s">
        <v>20</v>
      </c>
      <c r="O33" s="6"/>
      <c r="P33">
        <v>1</v>
      </c>
      <c r="AD33" s="6"/>
      <c r="AE33" t="s">
        <v>41</v>
      </c>
      <c r="AU33" s="6"/>
      <c r="AV33" t="s">
        <v>1</v>
      </c>
    </row>
    <row r="34" spans="1:50">
      <c r="A34">
        <v>0</v>
      </c>
      <c r="C34" s="3" t="s">
        <v>72</v>
      </c>
      <c r="O34" s="6"/>
      <c r="P34">
        <v>1</v>
      </c>
      <c r="R34" s="2" t="s">
        <v>20</v>
      </c>
      <c r="AD34" s="6"/>
      <c r="AE34" t="s">
        <v>41</v>
      </c>
      <c r="AG34" s="2" t="s">
        <v>20</v>
      </c>
      <c r="AU34" s="6"/>
      <c r="AV34" t="s">
        <v>1</v>
      </c>
      <c r="AX34" s="2" t="s">
        <v>20</v>
      </c>
    </row>
    <row r="35" spans="1:50">
      <c r="A35">
        <v>0</v>
      </c>
      <c r="C35" s="4" t="s">
        <v>25</v>
      </c>
      <c r="O35" s="6"/>
      <c r="P35">
        <v>1</v>
      </c>
      <c r="R35" s="3" t="s">
        <v>72</v>
      </c>
      <c r="AD35" s="6"/>
      <c r="AE35" t="s">
        <v>41</v>
      </c>
      <c r="AG35" s="3" t="s">
        <v>72</v>
      </c>
      <c r="AU35" s="6"/>
      <c r="AV35" t="s">
        <v>1</v>
      </c>
      <c r="AX35" s="3" t="s">
        <v>72</v>
      </c>
    </row>
    <row r="36" spans="1:50">
      <c r="A36">
        <v>0</v>
      </c>
      <c r="O36" s="6"/>
      <c r="P36">
        <v>1</v>
      </c>
      <c r="R36" s="4" t="s">
        <v>40</v>
      </c>
      <c r="AD36" s="6"/>
      <c r="AE36" t="s">
        <v>41</v>
      </c>
      <c r="AG36" s="4" t="s">
        <v>25</v>
      </c>
      <c r="AU36" s="6"/>
      <c r="AV36" t="s">
        <v>1</v>
      </c>
      <c r="AX36" s="4" t="s">
        <v>105</v>
      </c>
    </row>
    <row r="37" spans="1:50">
      <c r="A37">
        <v>0</v>
      </c>
      <c r="O37" s="6"/>
      <c r="P37">
        <v>1</v>
      </c>
      <c r="AD37" s="6"/>
      <c r="AE37" t="s">
        <v>41</v>
      </c>
      <c r="AU37" s="6"/>
      <c r="AV37" t="s">
        <v>1</v>
      </c>
    </row>
    <row r="38" spans="1:50">
      <c r="A38">
        <v>0</v>
      </c>
      <c r="O38" s="6"/>
      <c r="P38">
        <v>1</v>
      </c>
      <c r="AD38" s="6"/>
      <c r="AE38" t="s">
        <v>41</v>
      </c>
      <c r="AU38" s="6"/>
      <c r="AV38" t="s">
        <v>1</v>
      </c>
    </row>
    <row r="39" spans="1:50">
      <c r="A39">
        <v>0</v>
      </c>
      <c r="O39" s="6"/>
      <c r="P39">
        <v>1</v>
      </c>
      <c r="AD39" s="6"/>
      <c r="AE39" t="s">
        <v>41</v>
      </c>
      <c r="AU39" s="6"/>
      <c r="AV39" t="s">
        <v>1</v>
      </c>
    </row>
    <row r="40" spans="1:50">
      <c r="A40">
        <v>0</v>
      </c>
      <c r="O40" s="6"/>
      <c r="P40">
        <v>1</v>
      </c>
      <c r="AD40" s="6"/>
      <c r="AE40" t="s">
        <v>41</v>
      </c>
      <c r="AU40" s="6"/>
      <c r="AV40" t="s">
        <v>1</v>
      </c>
    </row>
    <row r="41" spans="1:50">
      <c r="A41">
        <v>0</v>
      </c>
      <c r="O41" s="6"/>
      <c r="P41">
        <v>1</v>
      </c>
      <c r="AD41" s="6"/>
      <c r="AE41" t="s">
        <v>41</v>
      </c>
      <c r="AU41" s="6"/>
      <c r="AV41" t="s">
        <v>1</v>
      </c>
    </row>
    <row r="42" spans="1:50">
      <c r="A42">
        <v>0</v>
      </c>
      <c r="O42" s="6"/>
      <c r="P42">
        <v>1</v>
      </c>
      <c r="AD42" s="6"/>
      <c r="AE42" t="s">
        <v>41</v>
      </c>
      <c r="AU42" s="6"/>
      <c r="AV42" t="s">
        <v>1</v>
      </c>
    </row>
    <row r="43" spans="1:50">
      <c r="A43">
        <v>0</v>
      </c>
      <c r="O43" s="6"/>
      <c r="P43">
        <v>1</v>
      </c>
      <c r="AD43" s="6"/>
      <c r="AE43" t="s">
        <v>41</v>
      </c>
      <c r="AU43" s="6"/>
      <c r="AV43" t="s">
        <v>1</v>
      </c>
    </row>
    <row r="44" spans="1:50">
      <c r="A44">
        <v>0</v>
      </c>
      <c r="O44" s="6"/>
      <c r="P44">
        <v>1</v>
      </c>
      <c r="AD44" s="6"/>
      <c r="AE44" t="s">
        <v>41</v>
      </c>
      <c r="AU44" s="6"/>
      <c r="AV44" t="s">
        <v>1</v>
      </c>
    </row>
    <row r="45" spans="1:50">
      <c r="A45">
        <v>0</v>
      </c>
      <c r="O45" s="6"/>
      <c r="P45">
        <v>1</v>
      </c>
      <c r="AD45" s="6"/>
      <c r="AE45" t="s">
        <v>41</v>
      </c>
      <c r="AU45" s="6"/>
      <c r="AV45" t="s">
        <v>1</v>
      </c>
    </row>
    <row r="46" spans="1:50">
      <c r="A46">
        <v>0</v>
      </c>
      <c r="O46" s="6"/>
      <c r="P46">
        <v>1</v>
      </c>
      <c r="AD46" s="6"/>
      <c r="AE46" t="s">
        <v>41</v>
      </c>
      <c r="AU46" s="6"/>
      <c r="AV46" t="s">
        <v>1</v>
      </c>
    </row>
    <row r="47" spans="1:50">
      <c r="A47">
        <v>0</v>
      </c>
      <c r="O47" s="6"/>
      <c r="P47">
        <v>1</v>
      </c>
      <c r="AD47" s="6"/>
      <c r="AE47" t="s">
        <v>41</v>
      </c>
      <c r="AU47" s="6"/>
      <c r="AV47" t="s">
        <v>1</v>
      </c>
    </row>
    <row r="48" spans="1:50">
      <c r="A48">
        <v>0</v>
      </c>
      <c r="C48" s="1" t="s">
        <v>24</v>
      </c>
      <c r="O48" s="6"/>
      <c r="P48">
        <v>1</v>
      </c>
      <c r="AD48" s="6"/>
      <c r="AE48" t="s">
        <v>41</v>
      </c>
      <c r="AU48" s="6"/>
      <c r="AV48" t="s">
        <v>1</v>
      </c>
    </row>
    <row r="49" spans="1:50">
      <c r="A49">
        <v>0</v>
      </c>
      <c r="O49" s="6"/>
      <c r="P49">
        <v>1</v>
      </c>
      <c r="R49" s="1" t="s">
        <v>24</v>
      </c>
      <c r="AD49" s="6"/>
      <c r="AE49" t="s">
        <v>41</v>
      </c>
      <c r="AG49" s="1" t="s">
        <v>24</v>
      </c>
      <c r="AU49" s="6"/>
      <c r="AV49" t="s">
        <v>1</v>
      </c>
      <c r="AX49" s="1" t="s">
        <v>24</v>
      </c>
    </row>
    <row r="50" spans="1:50">
      <c r="A50">
        <v>0</v>
      </c>
      <c r="O50" s="6"/>
      <c r="P50">
        <v>1</v>
      </c>
      <c r="AD50" s="6"/>
      <c r="AE50" t="s">
        <v>41</v>
      </c>
      <c r="AU50" s="6"/>
      <c r="AV50" t="s">
        <v>1</v>
      </c>
    </row>
    <row r="51" spans="1:50">
      <c r="A51">
        <v>0</v>
      </c>
      <c r="O51" s="6"/>
      <c r="P51">
        <v>1</v>
      </c>
      <c r="AD51" s="6"/>
      <c r="AE51" t="s">
        <v>41</v>
      </c>
      <c r="AU51" s="6"/>
      <c r="AV51" t="s">
        <v>1</v>
      </c>
    </row>
    <row r="52" spans="1:50">
      <c r="A52">
        <v>0</v>
      </c>
      <c r="O52" s="6"/>
      <c r="P52">
        <v>1</v>
      </c>
      <c r="AD52" s="6"/>
      <c r="AE52" t="s">
        <v>41</v>
      </c>
      <c r="AU52" s="6"/>
      <c r="AV52" t="s">
        <v>1</v>
      </c>
    </row>
    <row r="53" spans="1:50">
      <c r="A53">
        <v>0</v>
      </c>
      <c r="O53" s="6"/>
      <c r="P53">
        <v>1</v>
      </c>
      <c r="AD53" s="6"/>
      <c r="AE53" t="s">
        <v>41</v>
      </c>
      <c r="AU53" s="6"/>
      <c r="AV53" t="s">
        <v>1</v>
      </c>
    </row>
    <row r="54" spans="1:50">
      <c r="A54">
        <v>0</v>
      </c>
      <c r="O54" s="6"/>
      <c r="P54">
        <v>1</v>
      </c>
      <c r="AD54" s="6"/>
      <c r="AE54" t="s">
        <v>41</v>
      </c>
      <c r="AU54" s="6"/>
      <c r="AV54" t="s">
        <v>1</v>
      </c>
    </row>
    <row r="55" spans="1:50">
      <c r="A55">
        <v>0</v>
      </c>
      <c r="O55" s="6"/>
      <c r="P55">
        <v>1</v>
      </c>
      <c r="AD55" s="6"/>
      <c r="AE55" t="s">
        <v>41</v>
      </c>
      <c r="AU55" s="6"/>
      <c r="AV55" t="s">
        <v>1</v>
      </c>
    </row>
    <row r="56" spans="1:50">
      <c r="A56">
        <v>0</v>
      </c>
      <c r="O56" s="6"/>
      <c r="P56">
        <v>1</v>
      </c>
      <c r="AD56" s="6"/>
      <c r="AE56" t="s">
        <v>41</v>
      </c>
      <c r="AU56" s="6"/>
      <c r="AV56" t="s">
        <v>1</v>
      </c>
    </row>
    <row r="57" spans="1:50">
      <c r="A57">
        <v>0</v>
      </c>
      <c r="O57" s="6"/>
      <c r="P57">
        <v>1</v>
      </c>
      <c r="AD57" s="6"/>
      <c r="AE57" t="s">
        <v>41</v>
      </c>
      <c r="AU57" s="6"/>
      <c r="AV57" t="s">
        <v>1</v>
      </c>
    </row>
    <row r="58" spans="1:50">
      <c r="A58">
        <v>0</v>
      </c>
      <c r="O58" s="6"/>
      <c r="P58">
        <v>1</v>
      </c>
      <c r="AD58" s="6"/>
      <c r="AE58" t="s">
        <v>41</v>
      </c>
      <c r="AU58" s="6"/>
      <c r="AV58" t="s">
        <v>1</v>
      </c>
    </row>
    <row r="59" spans="1:50">
      <c r="A59">
        <v>0</v>
      </c>
      <c r="O59" s="6"/>
      <c r="P59">
        <v>1</v>
      </c>
      <c r="AD59" s="6"/>
      <c r="AE59" t="s">
        <v>41</v>
      </c>
      <c r="AU59" s="6"/>
      <c r="AV59" t="s">
        <v>1</v>
      </c>
    </row>
    <row r="60" spans="1:50">
      <c r="A60">
        <v>0</v>
      </c>
      <c r="O60" s="6"/>
      <c r="P60">
        <v>1</v>
      </c>
      <c r="AD60" s="6"/>
      <c r="AE60" t="s">
        <v>41</v>
      </c>
      <c r="AU60" s="6"/>
      <c r="AV60" t="s">
        <v>1</v>
      </c>
    </row>
    <row r="61" spans="1:50">
      <c r="A61">
        <v>0</v>
      </c>
      <c r="O61" s="6"/>
      <c r="P61">
        <v>1</v>
      </c>
      <c r="AD61" s="6"/>
      <c r="AE61" t="s">
        <v>41</v>
      </c>
      <c r="AU61" s="6"/>
      <c r="AV61" t="s">
        <v>1</v>
      </c>
    </row>
    <row r="62" spans="1:50">
      <c r="A62">
        <v>0</v>
      </c>
      <c r="O62" s="6"/>
      <c r="P62">
        <v>1</v>
      </c>
      <c r="AD62" s="6"/>
      <c r="AE62" t="s">
        <v>41</v>
      </c>
      <c r="AU62" s="6"/>
      <c r="AV62" t="s">
        <v>1</v>
      </c>
    </row>
    <row r="63" spans="1:50">
      <c r="A63">
        <v>0</v>
      </c>
      <c r="O63" s="6"/>
      <c r="P63">
        <v>1</v>
      </c>
      <c r="AD63" s="6"/>
      <c r="AE63" t="s">
        <v>41</v>
      </c>
      <c r="AU63" s="6"/>
      <c r="AV63" t="s">
        <v>1</v>
      </c>
    </row>
    <row r="64" spans="1:50">
      <c r="A64">
        <v>0</v>
      </c>
      <c r="O64" s="6"/>
      <c r="P64">
        <v>1</v>
      </c>
      <c r="AD64" s="6"/>
      <c r="AE64" t="s">
        <v>41</v>
      </c>
      <c r="AU64" s="6"/>
      <c r="AV64" t="s">
        <v>1</v>
      </c>
    </row>
    <row r="65" spans="1:48">
      <c r="A65">
        <v>0</v>
      </c>
      <c r="O65" s="6"/>
      <c r="P65">
        <v>1</v>
      </c>
      <c r="AD65" s="6"/>
      <c r="AE65" t="s">
        <v>41</v>
      </c>
      <c r="AU65" s="6"/>
      <c r="AV65" t="s">
        <v>1</v>
      </c>
    </row>
    <row r="66" spans="1:48">
      <c r="A66">
        <v>0</v>
      </c>
      <c r="O66" s="6"/>
      <c r="P66">
        <v>1</v>
      </c>
      <c r="AD66" s="6"/>
      <c r="AE66" t="s">
        <v>41</v>
      </c>
      <c r="AU66" s="6"/>
      <c r="AV66" t="s">
        <v>1</v>
      </c>
    </row>
    <row r="67" spans="1:48">
      <c r="A67">
        <v>0</v>
      </c>
      <c r="O67" s="6"/>
      <c r="P67">
        <v>1</v>
      </c>
      <c r="AD67" s="6"/>
      <c r="AE67" t="s">
        <v>41</v>
      </c>
      <c r="AU67" s="6"/>
      <c r="AV67" t="s">
        <v>1</v>
      </c>
    </row>
    <row r="68" spans="1:48">
      <c r="A68">
        <v>0</v>
      </c>
      <c r="O68" s="6"/>
      <c r="P68">
        <v>1</v>
      </c>
      <c r="AD68" s="6"/>
      <c r="AE68" t="s">
        <v>41</v>
      </c>
      <c r="AU68" s="6"/>
      <c r="AV68" t="s">
        <v>1</v>
      </c>
    </row>
    <row r="69" spans="1:48">
      <c r="A69">
        <v>0</v>
      </c>
      <c r="O69" s="6"/>
      <c r="P69">
        <v>1</v>
      </c>
      <c r="AD69" s="6"/>
      <c r="AE69" t="s">
        <v>41</v>
      </c>
      <c r="AU69" s="6"/>
      <c r="AV69" t="s">
        <v>1</v>
      </c>
    </row>
    <row r="70" spans="1:48">
      <c r="A70">
        <v>0</v>
      </c>
      <c r="O70" s="6"/>
      <c r="P70">
        <v>1</v>
      </c>
      <c r="AD70" s="6"/>
      <c r="AE70" t="s">
        <v>41</v>
      </c>
      <c r="AU70" s="6"/>
      <c r="AV70" t="s">
        <v>1</v>
      </c>
    </row>
    <row r="71" spans="1:48">
      <c r="A71">
        <v>0</v>
      </c>
      <c r="O71" s="6"/>
      <c r="P71">
        <v>1</v>
      </c>
      <c r="AD71" s="6"/>
      <c r="AE71" t="s">
        <v>41</v>
      </c>
      <c r="AU71" s="6"/>
      <c r="AV71" t="s">
        <v>1</v>
      </c>
    </row>
    <row r="72" spans="1:48">
      <c r="A72">
        <v>0</v>
      </c>
      <c r="O72" s="6"/>
      <c r="P72">
        <v>1</v>
      </c>
      <c r="AD72" s="6"/>
      <c r="AE72" t="s">
        <v>41</v>
      </c>
      <c r="AU72" s="6"/>
      <c r="AV72" t="s">
        <v>1</v>
      </c>
    </row>
    <row r="73" spans="1:48">
      <c r="A73">
        <v>0</v>
      </c>
      <c r="O73" s="6"/>
      <c r="P73">
        <v>1</v>
      </c>
      <c r="AD73" s="6"/>
      <c r="AE73" t="s">
        <v>41</v>
      </c>
      <c r="AU73" s="6"/>
      <c r="AV73" t="s">
        <v>1</v>
      </c>
    </row>
    <row r="74" spans="1:48">
      <c r="A74">
        <v>0</v>
      </c>
      <c r="O74" s="6"/>
      <c r="P74">
        <v>1</v>
      </c>
      <c r="AD74" s="6"/>
      <c r="AE74" t="s">
        <v>41</v>
      </c>
      <c r="AU74" s="6"/>
      <c r="AV74" t="s">
        <v>1</v>
      </c>
    </row>
    <row r="75" spans="1:48">
      <c r="A75">
        <v>0</v>
      </c>
      <c r="O75" s="6"/>
      <c r="P75">
        <v>1</v>
      </c>
      <c r="AD75" s="6"/>
      <c r="AE75" t="s">
        <v>41</v>
      </c>
      <c r="AU75" s="6"/>
      <c r="AV75" t="s">
        <v>1</v>
      </c>
    </row>
    <row r="76" spans="1:48">
      <c r="A76">
        <v>0</v>
      </c>
      <c r="O76" s="6"/>
      <c r="P76">
        <v>1</v>
      </c>
      <c r="AD76" s="6"/>
      <c r="AE76" t="s">
        <v>41</v>
      </c>
      <c r="AU76" s="6"/>
      <c r="AV76" t="s">
        <v>1</v>
      </c>
    </row>
    <row r="77" spans="1:48">
      <c r="A77">
        <v>0</v>
      </c>
      <c r="O77" s="6"/>
      <c r="P77">
        <v>1</v>
      </c>
      <c r="AD77" s="6"/>
      <c r="AE77" t="s">
        <v>41</v>
      </c>
      <c r="AU77" s="6"/>
      <c r="AV77" t="s">
        <v>1</v>
      </c>
    </row>
    <row r="78" spans="1:48">
      <c r="A78">
        <v>0</v>
      </c>
      <c r="O78" s="6"/>
      <c r="P78">
        <v>1</v>
      </c>
      <c r="AD78" s="6"/>
      <c r="AE78" t="s">
        <v>41</v>
      </c>
      <c r="AU78" s="6"/>
      <c r="AV78" t="s">
        <v>1</v>
      </c>
    </row>
    <row r="79" spans="1:48">
      <c r="A79">
        <v>0</v>
      </c>
      <c r="O79" s="6"/>
      <c r="P79">
        <v>1</v>
      </c>
      <c r="AD79" s="6"/>
      <c r="AE79" t="s">
        <v>41</v>
      </c>
      <c r="AU79" s="6"/>
      <c r="AV79" t="s">
        <v>1</v>
      </c>
    </row>
    <row r="80" spans="1:48">
      <c r="A80">
        <v>0</v>
      </c>
      <c r="O80" s="6"/>
      <c r="P80">
        <v>1</v>
      </c>
      <c r="AD80" s="6"/>
      <c r="AE80" t="s">
        <v>41</v>
      </c>
      <c r="AU80" s="6"/>
      <c r="AV80" t="s">
        <v>1</v>
      </c>
    </row>
    <row r="81" spans="1:48">
      <c r="A81">
        <v>0</v>
      </c>
      <c r="O81" s="6"/>
      <c r="P81">
        <v>1</v>
      </c>
      <c r="AD81" s="6"/>
      <c r="AE81" t="s">
        <v>41</v>
      </c>
      <c r="AU81" s="6"/>
      <c r="AV81" t="s">
        <v>1</v>
      </c>
    </row>
    <row r="82" spans="1:48">
      <c r="A82">
        <v>0</v>
      </c>
      <c r="O82" s="6"/>
      <c r="P82">
        <v>1</v>
      </c>
      <c r="AD82" s="6"/>
      <c r="AE82" t="s">
        <v>41</v>
      </c>
      <c r="AU82" s="6"/>
      <c r="AV82" t="s">
        <v>1</v>
      </c>
    </row>
    <row r="83" spans="1:48">
      <c r="A83">
        <v>0</v>
      </c>
      <c r="O83" s="6"/>
      <c r="P83">
        <v>1</v>
      </c>
      <c r="AD83" s="6"/>
      <c r="AE83" t="s">
        <v>41</v>
      </c>
      <c r="AU83" s="6"/>
      <c r="AV83" t="s">
        <v>1</v>
      </c>
    </row>
    <row r="84" spans="1:48">
      <c r="A84">
        <v>0</v>
      </c>
      <c r="O84" s="6"/>
      <c r="P84">
        <v>1</v>
      </c>
      <c r="AD84" s="6"/>
      <c r="AE84" t="s">
        <v>41</v>
      </c>
      <c r="AU84" s="6"/>
      <c r="AV84" t="s">
        <v>1</v>
      </c>
    </row>
    <row r="85" spans="1:48">
      <c r="A85">
        <v>0</v>
      </c>
      <c r="O85" s="6"/>
      <c r="P85">
        <v>1</v>
      </c>
      <c r="AD85" s="6"/>
      <c r="AE85" t="s">
        <v>41</v>
      </c>
      <c r="AU85" s="6"/>
      <c r="AV85" t="s">
        <v>1</v>
      </c>
    </row>
    <row r="86" spans="1:48">
      <c r="A86">
        <v>0</v>
      </c>
      <c r="O86" s="6"/>
      <c r="P86">
        <v>1</v>
      </c>
      <c r="AD86" s="6"/>
      <c r="AE86" t="s">
        <v>41</v>
      </c>
      <c r="AU86" s="6"/>
      <c r="AV86" t="s">
        <v>1</v>
      </c>
    </row>
    <row r="87" spans="1:48">
      <c r="A87">
        <v>0</v>
      </c>
      <c r="O87" s="6"/>
      <c r="P87">
        <v>1</v>
      </c>
      <c r="AD87" s="6"/>
      <c r="AE87" t="s">
        <v>41</v>
      </c>
      <c r="AU87" s="6"/>
      <c r="AV87" t="s">
        <v>1</v>
      </c>
    </row>
    <row r="88" spans="1:48">
      <c r="A88">
        <v>0</v>
      </c>
      <c r="O88" s="6"/>
      <c r="P88">
        <v>1</v>
      </c>
      <c r="AD88" s="6"/>
      <c r="AE88" t="s">
        <v>41</v>
      </c>
      <c r="AU88" s="6"/>
      <c r="AV88" t="s">
        <v>1</v>
      </c>
    </row>
    <row r="89" spans="1:48">
      <c r="A89">
        <v>0</v>
      </c>
      <c r="O89" s="6"/>
      <c r="P89">
        <v>1</v>
      </c>
      <c r="AD89" s="6"/>
      <c r="AE89" t="s">
        <v>41</v>
      </c>
      <c r="AU89" s="6"/>
      <c r="AV89" t="s">
        <v>1</v>
      </c>
    </row>
    <row r="90" spans="1:48">
      <c r="A90">
        <v>0</v>
      </c>
      <c r="O90" s="6"/>
      <c r="P90">
        <v>1</v>
      </c>
      <c r="AD90" s="6"/>
      <c r="AE90" t="s">
        <v>41</v>
      </c>
      <c r="AU90" s="6"/>
      <c r="AV90" t="s">
        <v>1</v>
      </c>
    </row>
    <row r="91" spans="1:48">
      <c r="A91">
        <v>0</v>
      </c>
      <c r="O91" s="6"/>
      <c r="P91">
        <v>1</v>
      </c>
      <c r="AD91" s="6"/>
      <c r="AE91" t="s">
        <v>41</v>
      </c>
      <c r="AU91" s="6"/>
      <c r="AV91" t="s">
        <v>1</v>
      </c>
    </row>
    <row r="92" spans="1:48">
      <c r="A92">
        <v>0</v>
      </c>
      <c r="O92" s="6"/>
      <c r="P92">
        <v>1</v>
      </c>
      <c r="AD92" s="6"/>
      <c r="AE92" t="s">
        <v>41</v>
      </c>
      <c r="AU92" s="6"/>
      <c r="AV92" t="s">
        <v>1</v>
      </c>
    </row>
    <row r="93" spans="1:48">
      <c r="A93">
        <v>0</v>
      </c>
      <c r="O93" s="6"/>
      <c r="P93">
        <v>1</v>
      </c>
      <c r="AD93" s="6"/>
      <c r="AE93" t="s">
        <v>41</v>
      </c>
      <c r="AU93" s="6"/>
      <c r="AV93" t="s">
        <v>1</v>
      </c>
    </row>
    <row r="94" spans="1:48">
      <c r="A94">
        <v>0</v>
      </c>
      <c r="O94" s="6"/>
      <c r="P94">
        <v>1</v>
      </c>
      <c r="AD94" s="6"/>
      <c r="AE94" t="s">
        <v>41</v>
      </c>
      <c r="AU94" s="6"/>
      <c r="AV94" t="s">
        <v>1</v>
      </c>
    </row>
    <row r="95" spans="1:48">
      <c r="A95">
        <v>0</v>
      </c>
      <c r="O95" s="6"/>
      <c r="P95">
        <v>1</v>
      </c>
      <c r="AD95" s="6"/>
      <c r="AE95" t="s">
        <v>41</v>
      </c>
      <c r="AU95" s="6"/>
      <c r="AV95" t="s">
        <v>1</v>
      </c>
    </row>
    <row r="96" spans="1:48">
      <c r="A96">
        <v>0</v>
      </c>
      <c r="O96" s="6"/>
      <c r="P96">
        <v>1</v>
      </c>
      <c r="AD96" s="6"/>
      <c r="AE96" t="s">
        <v>41</v>
      </c>
      <c r="AU96" s="6"/>
      <c r="AV96" t="s">
        <v>1</v>
      </c>
    </row>
    <row r="97" spans="1:184">
      <c r="A97">
        <v>0</v>
      </c>
      <c r="O97" s="6"/>
      <c r="P97">
        <v>1</v>
      </c>
      <c r="AD97" s="6"/>
      <c r="AE97" t="s">
        <v>41</v>
      </c>
      <c r="AU97" s="6"/>
      <c r="AV97" t="s">
        <v>1</v>
      </c>
      <c r="GB97">
        <v>0</v>
      </c>
    </row>
    <row r="98" spans="1:184">
      <c r="A98">
        <v>0</v>
      </c>
      <c r="O98" s="6"/>
      <c r="P98">
        <v>1</v>
      </c>
      <c r="AD98" s="6"/>
      <c r="AE98" t="s">
        <v>41</v>
      </c>
      <c r="AU98" s="6"/>
      <c r="AV98" t="s">
        <v>1</v>
      </c>
      <c r="GB98">
        <v>0</v>
      </c>
    </row>
    <row r="99" spans="1:184">
      <c r="A99">
        <v>0</v>
      </c>
      <c r="O99" s="6"/>
      <c r="P99">
        <v>1</v>
      </c>
      <c r="AD99" s="6"/>
      <c r="AE99" t="s">
        <v>41</v>
      </c>
      <c r="AU99" s="6"/>
      <c r="AV99" t="s">
        <v>1</v>
      </c>
      <c r="GB99">
        <v>0</v>
      </c>
    </row>
    <row r="100" spans="1:184">
      <c r="A100">
        <v>0</v>
      </c>
      <c r="O100" s="6"/>
      <c r="P100">
        <v>1</v>
      </c>
      <c r="AD100" s="6"/>
      <c r="AE100" t="s">
        <v>41</v>
      </c>
      <c r="AU100" s="6"/>
      <c r="AV100" t="s">
        <v>1</v>
      </c>
      <c r="GB100">
        <v>0</v>
      </c>
    </row>
    <row r="101" spans="1:184">
      <c r="A101">
        <v>0</v>
      </c>
      <c r="O101" s="6"/>
      <c r="P101">
        <v>1</v>
      </c>
      <c r="AD101" s="6"/>
      <c r="AE101" t="s">
        <v>41</v>
      </c>
      <c r="AU101" s="6"/>
      <c r="AV101" t="s">
        <v>1</v>
      </c>
      <c r="GB101">
        <v>0</v>
      </c>
    </row>
    <row r="102" spans="1:184">
      <c r="A102">
        <v>0</v>
      </c>
      <c r="O102" s="6"/>
      <c r="P102">
        <v>1</v>
      </c>
      <c r="AD102" s="6"/>
      <c r="AE102" t="s">
        <v>41</v>
      </c>
      <c r="AU102" s="6"/>
      <c r="AV102" t="s">
        <v>1</v>
      </c>
      <c r="GB102">
        <v>0</v>
      </c>
    </row>
    <row r="103" spans="1:184">
      <c r="A103">
        <v>0</v>
      </c>
      <c r="O103" s="6"/>
      <c r="P103">
        <v>1</v>
      </c>
      <c r="AD103" s="6"/>
      <c r="AE103" t="s">
        <v>41</v>
      </c>
      <c r="AU103" s="6"/>
      <c r="AV103" t="s">
        <v>1</v>
      </c>
      <c r="GB103">
        <v>0</v>
      </c>
    </row>
    <row r="104" spans="1:184">
      <c r="A104">
        <v>0</v>
      </c>
      <c r="O104" s="6"/>
      <c r="P104">
        <v>1</v>
      </c>
      <c r="AD104" s="6"/>
      <c r="AE104" t="s">
        <v>41</v>
      </c>
      <c r="AU104" s="6"/>
      <c r="AV104" t="s">
        <v>1</v>
      </c>
      <c r="GB104">
        <v>0</v>
      </c>
    </row>
    <row r="105" spans="1:184">
      <c r="A105">
        <v>0</v>
      </c>
      <c r="O105" s="6"/>
      <c r="P105">
        <v>1</v>
      </c>
      <c r="AD105" s="6"/>
      <c r="AE105" t="s">
        <v>41</v>
      </c>
      <c r="AU105" s="6"/>
      <c r="AV105" t="s">
        <v>1</v>
      </c>
      <c r="GB105">
        <v>0</v>
      </c>
    </row>
    <row r="106" spans="1:184">
      <c r="A106">
        <v>0</v>
      </c>
      <c r="O106" s="6"/>
      <c r="P106">
        <v>1</v>
      </c>
      <c r="AD106" s="6"/>
      <c r="AE106" t="s">
        <v>41</v>
      </c>
      <c r="AU106" s="6"/>
      <c r="AV106" t="s">
        <v>1</v>
      </c>
      <c r="GB106">
        <v>0</v>
      </c>
    </row>
    <row r="107" spans="1:184">
      <c r="A107">
        <v>0</v>
      </c>
      <c r="O107" s="6"/>
      <c r="P107">
        <v>1</v>
      </c>
      <c r="AD107" s="6"/>
      <c r="AE107" t="s">
        <v>41</v>
      </c>
      <c r="AU107" s="6"/>
      <c r="AV107" t="s">
        <v>1</v>
      </c>
      <c r="GB107">
        <v>0</v>
      </c>
    </row>
    <row r="108" spans="1:184">
      <c r="A108">
        <v>0</v>
      </c>
      <c r="O108" s="6"/>
      <c r="P108">
        <v>1</v>
      </c>
      <c r="AD108" s="6"/>
      <c r="AE108" t="s">
        <v>41</v>
      </c>
      <c r="AU108" s="6"/>
      <c r="AV108" t="s">
        <v>1</v>
      </c>
      <c r="GB108">
        <v>0</v>
      </c>
    </row>
    <row r="109" spans="1:184">
      <c r="A109">
        <v>0</v>
      </c>
      <c r="O109" s="6"/>
      <c r="P109">
        <v>1</v>
      </c>
      <c r="AD109" s="6"/>
      <c r="AE109" t="s">
        <v>41</v>
      </c>
      <c r="AU109" s="6"/>
      <c r="AV109" t="s">
        <v>1</v>
      </c>
      <c r="GB109">
        <v>0</v>
      </c>
    </row>
    <row r="110" spans="1:184">
      <c r="A110">
        <v>0</v>
      </c>
      <c r="O110" s="6"/>
      <c r="P110">
        <v>1</v>
      </c>
      <c r="AD110" s="6"/>
      <c r="AE110" t="s">
        <v>41</v>
      </c>
      <c r="AU110" s="6"/>
      <c r="AV110" t="s">
        <v>1</v>
      </c>
      <c r="GB110">
        <v>0</v>
      </c>
    </row>
    <row r="111" spans="1:184">
      <c r="A111">
        <v>0</v>
      </c>
      <c r="O111" s="6"/>
      <c r="P111">
        <v>1</v>
      </c>
      <c r="AD111" s="6"/>
      <c r="AE111" t="s">
        <v>41</v>
      </c>
      <c r="AU111" s="6"/>
      <c r="AV111" t="s">
        <v>1</v>
      </c>
      <c r="GB111">
        <v>0</v>
      </c>
    </row>
    <row r="112" spans="1:184">
      <c r="A112">
        <v>0</v>
      </c>
      <c r="O112" s="6"/>
      <c r="P112">
        <v>1</v>
      </c>
      <c r="AD112" s="6"/>
      <c r="AE112" t="s">
        <v>41</v>
      </c>
      <c r="AU112" s="6"/>
      <c r="AV112" t="s">
        <v>1</v>
      </c>
      <c r="GB112">
        <v>0</v>
      </c>
    </row>
    <row r="113" spans="1:184">
      <c r="A113">
        <v>0</v>
      </c>
      <c r="O113" s="6"/>
      <c r="P113">
        <v>1</v>
      </c>
      <c r="AD113" s="6"/>
      <c r="AE113" t="s">
        <v>41</v>
      </c>
      <c r="AU113" s="6"/>
      <c r="AV113" t="s">
        <v>1</v>
      </c>
      <c r="GB113">
        <v>0</v>
      </c>
    </row>
    <row r="114" spans="1:184">
      <c r="A114">
        <v>0</v>
      </c>
      <c r="O114" s="6"/>
      <c r="P114">
        <v>1</v>
      </c>
      <c r="AD114" s="6"/>
      <c r="AE114" t="s">
        <v>41</v>
      </c>
      <c r="AU114" s="6"/>
      <c r="AV114" t="s">
        <v>1</v>
      </c>
      <c r="GB114">
        <v>0</v>
      </c>
    </row>
    <row r="115" spans="1:184">
      <c r="A115">
        <v>0</v>
      </c>
      <c r="O115" s="6"/>
      <c r="P115">
        <v>1</v>
      </c>
      <c r="AD115" s="6"/>
      <c r="AE115" t="s">
        <v>41</v>
      </c>
      <c r="AU115" s="6"/>
      <c r="AV115" t="s">
        <v>1</v>
      </c>
      <c r="GB115">
        <v>0</v>
      </c>
    </row>
    <row r="116" spans="1:184">
      <c r="A116">
        <v>0</v>
      </c>
      <c r="O116" s="6"/>
      <c r="P116">
        <v>1</v>
      </c>
      <c r="AD116" s="6"/>
      <c r="AE116" t="s">
        <v>41</v>
      </c>
      <c r="AU116" s="6"/>
      <c r="AV116" t="s">
        <v>1</v>
      </c>
      <c r="GB116">
        <v>0</v>
      </c>
    </row>
    <row r="117" spans="1:184">
      <c r="A117">
        <v>0</v>
      </c>
      <c r="O117" s="6"/>
      <c r="P117">
        <v>1</v>
      </c>
      <c r="AD117" s="6"/>
      <c r="AE117" t="s">
        <v>41</v>
      </c>
      <c r="AU117" s="6"/>
      <c r="AV117" t="s">
        <v>1</v>
      </c>
      <c r="GB117">
        <v>0</v>
      </c>
    </row>
    <row r="118" spans="1:184">
      <c r="A118">
        <v>0</v>
      </c>
      <c r="O118" s="6"/>
      <c r="P118">
        <v>1</v>
      </c>
      <c r="AD118" s="6"/>
      <c r="AE118" t="s">
        <v>41</v>
      </c>
      <c r="AU118" s="6"/>
      <c r="AV118" t="s">
        <v>1</v>
      </c>
      <c r="GB118">
        <v>0</v>
      </c>
    </row>
    <row r="119" spans="1:184">
      <c r="A119">
        <v>0</v>
      </c>
      <c r="O119" s="6"/>
      <c r="P119">
        <v>1</v>
      </c>
      <c r="AD119" s="6"/>
      <c r="AE119" t="s">
        <v>41</v>
      </c>
      <c r="AU119" s="6"/>
      <c r="AV119" t="s">
        <v>1</v>
      </c>
      <c r="GB119">
        <v>0</v>
      </c>
    </row>
    <row r="120" spans="1:184">
      <c r="A120">
        <v>0</v>
      </c>
      <c r="O120" s="6"/>
      <c r="P120">
        <v>1</v>
      </c>
      <c r="AD120" s="6"/>
      <c r="AE120" t="s">
        <v>41</v>
      </c>
      <c r="AU120" s="6"/>
      <c r="AV120" t="s">
        <v>1</v>
      </c>
      <c r="GB120">
        <v>0</v>
      </c>
    </row>
    <row r="121" spans="1:184">
      <c r="A121">
        <v>0</v>
      </c>
      <c r="O121" s="6"/>
      <c r="P121">
        <v>1</v>
      </c>
      <c r="AD121" s="6"/>
      <c r="AE121" t="s">
        <v>41</v>
      </c>
      <c r="AU121" s="6"/>
      <c r="AV121" t="s">
        <v>1</v>
      </c>
      <c r="GB121">
        <v>0</v>
      </c>
    </row>
    <row r="122" spans="1:184">
      <c r="A122">
        <v>0</v>
      </c>
      <c r="O122" s="6"/>
      <c r="P122">
        <v>1</v>
      </c>
      <c r="AD122" s="6"/>
      <c r="AE122" t="s">
        <v>41</v>
      </c>
      <c r="AU122" s="6"/>
      <c r="AV122" t="s">
        <v>1</v>
      </c>
      <c r="GB122">
        <v>0</v>
      </c>
    </row>
    <row r="123" spans="1:184">
      <c r="A123">
        <v>0</v>
      </c>
      <c r="O123" s="6"/>
      <c r="P123">
        <v>1</v>
      </c>
      <c r="AD123" s="6"/>
      <c r="AE123" t="s">
        <v>41</v>
      </c>
      <c r="AU123" s="6"/>
      <c r="AV123" t="s">
        <v>1</v>
      </c>
      <c r="GB123">
        <v>0</v>
      </c>
    </row>
    <row r="124" spans="1:184">
      <c r="A124">
        <v>0</v>
      </c>
      <c r="O124" s="6"/>
      <c r="P124">
        <v>1</v>
      </c>
      <c r="AD124" s="6"/>
      <c r="AE124" t="s">
        <v>41</v>
      </c>
      <c r="AU124" s="6"/>
      <c r="AV124" t="s">
        <v>1</v>
      </c>
      <c r="GB124">
        <v>0</v>
      </c>
    </row>
    <row r="125" spans="1:184">
      <c r="A125">
        <v>0</v>
      </c>
      <c r="O125" s="6"/>
      <c r="P125">
        <v>1</v>
      </c>
      <c r="AD125" s="6"/>
      <c r="AE125" t="s">
        <v>41</v>
      </c>
      <c r="AU125" s="6"/>
      <c r="AV125" t="s">
        <v>1</v>
      </c>
      <c r="GB125">
        <v>0</v>
      </c>
    </row>
    <row r="126" spans="1:184">
      <c r="A126">
        <v>0</v>
      </c>
      <c r="O126" s="6"/>
      <c r="P126">
        <v>1</v>
      </c>
      <c r="AD126" s="6"/>
      <c r="AE126" t="s">
        <v>41</v>
      </c>
      <c r="AU126" s="6"/>
      <c r="AV126" t="s">
        <v>1</v>
      </c>
      <c r="GB126">
        <v>0</v>
      </c>
    </row>
    <row r="127" spans="1:184">
      <c r="A127">
        <v>0</v>
      </c>
      <c r="O127" s="6"/>
      <c r="P127">
        <v>1</v>
      </c>
      <c r="AD127" s="6"/>
      <c r="AE127" t="s">
        <v>41</v>
      </c>
      <c r="AU127" s="6"/>
      <c r="AV127" t="s">
        <v>1</v>
      </c>
      <c r="GB127">
        <v>0</v>
      </c>
    </row>
    <row r="128" spans="1:184">
      <c r="A128">
        <v>0</v>
      </c>
      <c r="O128" s="6"/>
      <c r="P128">
        <v>1</v>
      </c>
      <c r="AD128" s="6"/>
      <c r="AE128" t="s">
        <v>41</v>
      </c>
      <c r="AU128" s="6"/>
      <c r="AV128" t="s">
        <v>1</v>
      </c>
      <c r="GB128">
        <v>0</v>
      </c>
    </row>
    <row r="129" spans="1:184">
      <c r="A129">
        <v>0</v>
      </c>
      <c r="O129" s="6"/>
      <c r="P129">
        <v>1</v>
      </c>
      <c r="AD129" s="6"/>
      <c r="AE129" t="s">
        <v>41</v>
      </c>
      <c r="AU129" s="6"/>
      <c r="AV129" t="s">
        <v>1</v>
      </c>
      <c r="GB129">
        <v>0</v>
      </c>
    </row>
    <row r="130" spans="1:184">
      <c r="A130">
        <v>0</v>
      </c>
      <c r="O130" s="6"/>
      <c r="P130">
        <v>1</v>
      </c>
      <c r="AD130" s="6"/>
      <c r="AE130" t="s">
        <v>41</v>
      </c>
      <c r="AU130" s="6"/>
      <c r="AV130" t="s">
        <v>1</v>
      </c>
      <c r="GB130">
        <v>0</v>
      </c>
    </row>
    <row r="131" spans="1:184">
      <c r="A131">
        <v>0</v>
      </c>
      <c r="O131" s="6"/>
      <c r="P131">
        <v>1</v>
      </c>
      <c r="AD131" s="6"/>
      <c r="AE131" t="s">
        <v>41</v>
      </c>
      <c r="AU131" s="6"/>
      <c r="AV131" t="s">
        <v>1</v>
      </c>
      <c r="GB131">
        <v>0</v>
      </c>
    </row>
    <row r="132" spans="1:184">
      <c r="A132">
        <v>0</v>
      </c>
      <c r="O132" s="6"/>
      <c r="P132">
        <v>1</v>
      </c>
      <c r="AD132" s="6"/>
      <c r="AE132" t="s">
        <v>41</v>
      </c>
      <c r="AU132" s="6"/>
      <c r="AV132" t="s">
        <v>1</v>
      </c>
      <c r="GB132">
        <v>0</v>
      </c>
    </row>
    <row r="133" spans="1:184">
      <c r="A133">
        <v>0</v>
      </c>
      <c r="O133" s="6"/>
      <c r="P133">
        <v>1</v>
      </c>
      <c r="AD133" s="6"/>
      <c r="AE133" t="s">
        <v>41</v>
      </c>
      <c r="AU133" s="6"/>
      <c r="AV133" t="s">
        <v>1</v>
      </c>
      <c r="GB133">
        <v>0</v>
      </c>
    </row>
    <row r="134" spans="1:184">
      <c r="A134">
        <v>0</v>
      </c>
      <c r="O134" s="6"/>
      <c r="P134">
        <v>1</v>
      </c>
      <c r="AD134" s="6"/>
      <c r="AE134" t="s">
        <v>41</v>
      </c>
      <c r="AU134" s="6"/>
      <c r="AV134" t="s">
        <v>1</v>
      </c>
      <c r="GB134">
        <v>0</v>
      </c>
    </row>
    <row r="135" spans="1:184">
      <c r="A135">
        <v>0</v>
      </c>
      <c r="O135" s="6"/>
      <c r="P135">
        <v>1</v>
      </c>
      <c r="AD135" s="6"/>
      <c r="AE135" t="s">
        <v>41</v>
      </c>
      <c r="AU135" s="6"/>
      <c r="AV135" t="s">
        <v>1</v>
      </c>
      <c r="GB135">
        <v>0</v>
      </c>
    </row>
    <row r="136" spans="1:184">
      <c r="A136">
        <v>0</v>
      </c>
      <c r="O136" s="6"/>
      <c r="P136">
        <v>1</v>
      </c>
      <c r="AD136" s="6"/>
      <c r="AE136" t="s">
        <v>41</v>
      </c>
      <c r="AU136" s="6"/>
      <c r="AV136" t="s">
        <v>1</v>
      </c>
      <c r="GB136">
        <v>0</v>
      </c>
    </row>
    <row r="137" spans="1:184">
      <c r="A137">
        <v>0</v>
      </c>
      <c r="O137" s="6"/>
      <c r="P137">
        <v>1</v>
      </c>
      <c r="AD137" s="6"/>
      <c r="AE137" t="s">
        <v>41</v>
      </c>
      <c r="AU137" s="6"/>
      <c r="AV137" t="s">
        <v>1</v>
      </c>
      <c r="GB137">
        <v>0</v>
      </c>
    </row>
    <row r="138" spans="1:184">
      <c r="A138">
        <v>0</v>
      </c>
      <c r="O138" s="6"/>
      <c r="P138">
        <v>1</v>
      </c>
      <c r="AD138" s="6"/>
      <c r="AE138" t="s">
        <v>41</v>
      </c>
      <c r="AU138" s="6"/>
      <c r="AV138" t="s">
        <v>1</v>
      </c>
      <c r="GB138">
        <v>0</v>
      </c>
    </row>
    <row r="139" spans="1:184">
      <c r="A139">
        <v>0</v>
      </c>
      <c r="O139" s="6"/>
      <c r="P139">
        <v>1</v>
      </c>
      <c r="AD139" s="6"/>
      <c r="AE139" t="s">
        <v>41</v>
      </c>
      <c r="AU139" s="6"/>
      <c r="AV139" t="s">
        <v>1</v>
      </c>
      <c r="GB139">
        <v>0</v>
      </c>
    </row>
    <row r="140" spans="1:184">
      <c r="A140">
        <v>0</v>
      </c>
      <c r="O140" s="6"/>
      <c r="P140">
        <v>1</v>
      </c>
      <c r="AD140" s="6"/>
      <c r="AE140" t="s">
        <v>41</v>
      </c>
      <c r="AU140" s="6"/>
      <c r="AV140" t="s">
        <v>1</v>
      </c>
      <c r="GB140">
        <v>0</v>
      </c>
    </row>
    <row r="141" spans="1:184">
      <c r="A141">
        <v>0</v>
      </c>
      <c r="O141" s="6"/>
      <c r="P141">
        <v>1</v>
      </c>
      <c r="AD141" s="6"/>
      <c r="AE141" t="s">
        <v>41</v>
      </c>
      <c r="AU141" s="6"/>
      <c r="AV141" t="s">
        <v>1</v>
      </c>
      <c r="GB141">
        <v>0</v>
      </c>
    </row>
    <row r="142" spans="1:184">
      <c r="A142">
        <v>0</v>
      </c>
      <c r="O142" s="6"/>
      <c r="P142">
        <v>1</v>
      </c>
      <c r="AD142" s="6"/>
      <c r="AE142" t="s">
        <v>41</v>
      </c>
      <c r="AU142" s="6"/>
      <c r="AV142" t="s">
        <v>1</v>
      </c>
      <c r="GB142">
        <v>0</v>
      </c>
    </row>
    <row r="143" spans="1:184">
      <c r="A143">
        <v>0</v>
      </c>
      <c r="O143" s="6"/>
      <c r="P143">
        <v>1</v>
      </c>
      <c r="AD143" s="6"/>
      <c r="AE143" t="s">
        <v>41</v>
      </c>
      <c r="AU143" s="6"/>
      <c r="AV143" t="s">
        <v>1</v>
      </c>
      <c r="GB143">
        <v>0</v>
      </c>
    </row>
    <row r="144" spans="1:184">
      <c r="A144">
        <v>0</v>
      </c>
      <c r="O144" s="6"/>
      <c r="P144">
        <v>1</v>
      </c>
      <c r="AD144" s="6"/>
      <c r="AE144" t="s">
        <v>41</v>
      </c>
      <c r="AU144" s="6"/>
      <c r="AV144" t="s">
        <v>1</v>
      </c>
      <c r="GB144">
        <v>0</v>
      </c>
    </row>
    <row r="145" spans="1:184">
      <c r="A145">
        <v>0</v>
      </c>
      <c r="O145" s="6"/>
      <c r="P145">
        <v>1</v>
      </c>
      <c r="AD145" s="6"/>
      <c r="AE145" t="s">
        <v>41</v>
      </c>
      <c r="AU145" s="6"/>
      <c r="AV145" t="s">
        <v>1</v>
      </c>
      <c r="GB145">
        <v>0</v>
      </c>
    </row>
    <row r="146" spans="1:184">
      <c r="A146">
        <v>0</v>
      </c>
      <c r="O146" s="6"/>
      <c r="P146">
        <v>1</v>
      </c>
      <c r="AD146" s="6"/>
      <c r="AE146" t="s">
        <v>41</v>
      </c>
      <c r="AU146" s="6"/>
      <c r="AV146" t="s">
        <v>1</v>
      </c>
      <c r="GB146">
        <v>0</v>
      </c>
    </row>
    <row r="147" spans="1:184">
      <c r="A147">
        <v>0</v>
      </c>
      <c r="O147" s="6"/>
      <c r="P147">
        <v>1</v>
      </c>
      <c r="AD147" s="6"/>
      <c r="AE147" t="s">
        <v>41</v>
      </c>
      <c r="AU147" s="6"/>
      <c r="AV147" t="s">
        <v>1</v>
      </c>
      <c r="GB147">
        <v>0</v>
      </c>
    </row>
    <row r="148" spans="1:184">
      <c r="A148">
        <v>0</v>
      </c>
      <c r="O148" s="6"/>
      <c r="P148">
        <v>1</v>
      </c>
      <c r="AD148" s="6"/>
      <c r="AE148" t="s">
        <v>41</v>
      </c>
      <c r="AU148" s="6"/>
      <c r="AV148" t="s">
        <v>1</v>
      </c>
      <c r="GB148">
        <v>0</v>
      </c>
    </row>
    <row r="149" spans="1:184">
      <c r="A149">
        <v>0</v>
      </c>
      <c r="O149" s="6"/>
      <c r="P149">
        <v>1</v>
      </c>
      <c r="AD149" s="6"/>
      <c r="AE149" t="s">
        <v>41</v>
      </c>
      <c r="AU149" s="6"/>
      <c r="AV149" t="s">
        <v>1</v>
      </c>
      <c r="GB149">
        <v>0</v>
      </c>
    </row>
    <row r="150" spans="1:184">
      <c r="A150">
        <v>0</v>
      </c>
      <c r="O150" s="6"/>
      <c r="P150">
        <v>1</v>
      </c>
      <c r="AD150" s="6"/>
      <c r="AE150" t="s">
        <v>41</v>
      </c>
      <c r="AU150" s="6"/>
      <c r="AV150" t="s">
        <v>1</v>
      </c>
      <c r="GB150">
        <v>0</v>
      </c>
    </row>
    <row r="151" spans="1:184">
      <c r="A151">
        <v>0</v>
      </c>
      <c r="O151" s="6"/>
      <c r="P151">
        <v>1</v>
      </c>
      <c r="AD151" s="6"/>
      <c r="AE151" t="s">
        <v>41</v>
      </c>
      <c r="AU151" s="6"/>
      <c r="AV151" t="s">
        <v>1</v>
      </c>
      <c r="GB151">
        <v>0</v>
      </c>
    </row>
    <row r="152" spans="1:184">
      <c r="A152">
        <v>0</v>
      </c>
      <c r="O152" s="6"/>
      <c r="P152">
        <v>1</v>
      </c>
      <c r="AD152" s="6"/>
      <c r="AE152" t="s">
        <v>41</v>
      </c>
      <c r="AU152" s="6"/>
      <c r="AV152" t="s">
        <v>1</v>
      </c>
      <c r="GB152">
        <v>0</v>
      </c>
    </row>
    <row r="153" spans="1:184">
      <c r="A153">
        <v>0</v>
      </c>
      <c r="O153" s="6"/>
      <c r="P153">
        <v>1</v>
      </c>
      <c r="AD153" s="6"/>
      <c r="AE153" t="s">
        <v>41</v>
      </c>
      <c r="AU153" s="6"/>
      <c r="AV153" t="s">
        <v>1</v>
      </c>
      <c r="GB153">
        <v>0</v>
      </c>
    </row>
    <row r="154" spans="1:184">
      <c r="A154">
        <v>0</v>
      </c>
      <c r="O154" s="6"/>
      <c r="P154">
        <v>1</v>
      </c>
      <c r="AD154" s="6"/>
      <c r="AE154" t="s">
        <v>41</v>
      </c>
      <c r="AU154" s="6"/>
      <c r="AV154" t="s">
        <v>1</v>
      </c>
      <c r="GB154">
        <v>0</v>
      </c>
    </row>
    <row r="155" spans="1:184">
      <c r="A155">
        <v>0</v>
      </c>
      <c r="O155" s="6"/>
      <c r="P155">
        <v>1</v>
      </c>
      <c r="AD155" s="6"/>
      <c r="AE155" t="s">
        <v>41</v>
      </c>
      <c r="AU155" s="6"/>
      <c r="AV155" t="s">
        <v>1</v>
      </c>
      <c r="GB155">
        <v>0</v>
      </c>
    </row>
    <row r="156" spans="1:184">
      <c r="A156">
        <v>0</v>
      </c>
      <c r="O156" s="6"/>
      <c r="P156">
        <v>1</v>
      </c>
      <c r="AD156" s="6"/>
      <c r="AE156" t="s">
        <v>41</v>
      </c>
      <c r="AU156" s="6"/>
      <c r="AV156" t="s">
        <v>1</v>
      </c>
      <c r="GB156">
        <v>0</v>
      </c>
    </row>
    <row r="157" spans="1:184">
      <c r="A157">
        <v>0</v>
      </c>
      <c r="O157" s="6"/>
      <c r="P157">
        <v>1</v>
      </c>
      <c r="AD157" s="6"/>
      <c r="AE157" t="s">
        <v>41</v>
      </c>
      <c r="AU157" s="6"/>
      <c r="AV157" t="s">
        <v>1</v>
      </c>
      <c r="GB157">
        <v>0</v>
      </c>
    </row>
    <row r="158" spans="1:184">
      <c r="A158">
        <v>0</v>
      </c>
      <c r="O158" s="6"/>
      <c r="P158">
        <v>1</v>
      </c>
      <c r="AD158" s="6"/>
      <c r="AE158" t="s">
        <v>41</v>
      </c>
      <c r="AU158" s="6"/>
      <c r="AV158" t="s">
        <v>1</v>
      </c>
      <c r="GB158">
        <v>0</v>
      </c>
    </row>
    <row r="159" spans="1:184">
      <c r="A159">
        <v>0</v>
      </c>
      <c r="O159" s="6"/>
      <c r="P159">
        <v>1</v>
      </c>
      <c r="AD159" s="6"/>
      <c r="AE159" t="s">
        <v>41</v>
      </c>
      <c r="AU159" s="6"/>
      <c r="AV159" t="s">
        <v>1</v>
      </c>
      <c r="GB159">
        <v>0</v>
      </c>
    </row>
    <row r="160" spans="1:184">
      <c r="A160">
        <v>0</v>
      </c>
      <c r="O160" s="6"/>
      <c r="P160">
        <v>1</v>
      </c>
      <c r="AD160" s="6"/>
      <c r="AE160" t="s">
        <v>41</v>
      </c>
      <c r="AU160" s="6"/>
      <c r="AV160" t="s">
        <v>1</v>
      </c>
      <c r="GB160">
        <v>0</v>
      </c>
    </row>
    <row r="161" spans="1:184">
      <c r="A161">
        <v>0</v>
      </c>
      <c r="O161" s="6"/>
      <c r="P161">
        <v>1</v>
      </c>
      <c r="AD161" s="6"/>
      <c r="AE161" t="s">
        <v>41</v>
      </c>
      <c r="AU161" s="6"/>
      <c r="AV161" t="s">
        <v>1</v>
      </c>
      <c r="GB161">
        <v>0</v>
      </c>
    </row>
    <row r="162" spans="1:184">
      <c r="A162">
        <v>0</v>
      </c>
      <c r="O162" s="6"/>
      <c r="P162">
        <v>1</v>
      </c>
      <c r="AD162" s="6"/>
      <c r="AE162" t="s">
        <v>41</v>
      </c>
      <c r="AU162" s="6"/>
      <c r="AV162" t="s">
        <v>1</v>
      </c>
      <c r="GB162">
        <v>0</v>
      </c>
    </row>
    <row r="163" spans="1:184">
      <c r="A163">
        <v>0</v>
      </c>
      <c r="O163" s="6"/>
      <c r="P163">
        <v>1</v>
      </c>
      <c r="AD163" s="6"/>
      <c r="AE163" t="s">
        <v>41</v>
      </c>
      <c r="AU163" s="6"/>
      <c r="AV163" t="s">
        <v>1</v>
      </c>
      <c r="GB163">
        <v>0</v>
      </c>
    </row>
    <row r="164" spans="1:184">
      <c r="A164">
        <v>0</v>
      </c>
      <c r="O164" s="6"/>
      <c r="P164">
        <v>1</v>
      </c>
      <c r="AD164" s="6"/>
      <c r="AE164" t="s">
        <v>41</v>
      </c>
      <c r="AU164" s="6"/>
      <c r="AV164" t="s">
        <v>1</v>
      </c>
      <c r="GB164">
        <v>0</v>
      </c>
    </row>
    <row r="165" spans="1:184">
      <c r="A165">
        <v>0</v>
      </c>
      <c r="O165" s="6"/>
      <c r="P165">
        <v>1</v>
      </c>
      <c r="AD165" s="6"/>
      <c r="AE165" t="s">
        <v>41</v>
      </c>
      <c r="AU165" s="6"/>
      <c r="AV165" t="s">
        <v>1</v>
      </c>
      <c r="GB165">
        <v>0</v>
      </c>
    </row>
    <row r="166" spans="1:184">
      <c r="A166">
        <v>0</v>
      </c>
      <c r="O166" s="6"/>
      <c r="P166">
        <v>1</v>
      </c>
      <c r="AD166" s="6"/>
      <c r="AE166" t="s">
        <v>41</v>
      </c>
      <c r="AU166" s="6"/>
      <c r="AV166" t="s">
        <v>1</v>
      </c>
      <c r="GB166">
        <v>0</v>
      </c>
    </row>
    <row r="167" spans="1:184">
      <c r="A167">
        <v>0</v>
      </c>
      <c r="O167" s="6"/>
      <c r="P167">
        <v>1</v>
      </c>
      <c r="AD167" s="6"/>
      <c r="AE167" t="s">
        <v>41</v>
      </c>
      <c r="AU167" s="6"/>
      <c r="AV167" t="s">
        <v>1</v>
      </c>
      <c r="GB167">
        <v>0</v>
      </c>
    </row>
    <row r="168" spans="1:184">
      <c r="A168">
        <v>0</v>
      </c>
      <c r="O168" s="6"/>
      <c r="P168">
        <v>1</v>
      </c>
      <c r="AD168" s="6"/>
      <c r="AE168" t="s">
        <v>41</v>
      </c>
      <c r="AU168" s="6"/>
      <c r="AV168" t="s">
        <v>1</v>
      </c>
      <c r="GB168">
        <v>0</v>
      </c>
    </row>
    <row r="169" spans="1:184">
      <c r="A169">
        <v>0</v>
      </c>
      <c r="O169" s="6"/>
      <c r="P169">
        <v>1</v>
      </c>
      <c r="AD169" s="6"/>
      <c r="AE169" t="s">
        <v>41</v>
      </c>
      <c r="AU169" s="6"/>
      <c r="AV169" t="s">
        <v>1</v>
      </c>
      <c r="GB169">
        <v>0</v>
      </c>
    </row>
    <row r="170" spans="1:184">
      <c r="A170">
        <v>0</v>
      </c>
      <c r="O170" s="6"/>
      <c r="P170">
        <v>1</v>
      </c>
      <c r="AD170" s="6"/>
      <c r="AE170" t="s">
        <v>41</v>
      </c>
      <c r="AU170" s="6"/>
      <c r="AV170" t="s">
        <v>2</v>
      </c>
      <c r="GB170">
        <v>0</v>
      </c>
    </row>
    <row r="171" spans="1:184">
      <c r="A171">
        <v>0</v>
      </c>
      <c r="O171" s="6"/>
      <c r="P171">
        <v>1</v>
      </c>
      <c r="AD171" s="6"/>
      <c r="AE171" t="s">
        <v>41</v>
      </c>
      <c r="AU171" s="6"/>
      <c r="AV171" t="s">
        <v>2</v>
      </c>
      <c r="GB171">
        <v>0</v>
      </c>
    </row>
    <row r="172" spans="1:184">
      <c r="A172">
        <v>0</v>
      </c>
      <c r="O172" s="6"/>
      <c r="P172">
        <v>1</v>
      </c>
      <c r="AD172" s="6"/>
      <c r="AE172" t="s">
        <v>41</v>
      </c>
      <c r="AU172" s="6"/>
      <c r="AV172" t="s">
        <v>2</v>
      </c>
      <c r="GB172">
        <v>0</v>
      </c>
    </row>
    <row r="173" spans="1:184">
      <c r="A173">
        <v>0</v>
      </c>
      <c r="O173" s="6"/>
      <c r="P173">
        <v>1</v>
      </c>
      <c r="AD173" s="6"/>
      <c r="AE173" t="s">
        <v>41</v>
      </c>
      <c r="AU173" s="6"/>
      <c r="AV173" t="s">
        <v>2</v>
      </c>
      <c r="GB173">
        <v>0</v>
      </c>
    </row>
    <row r="174" spans="1:184">
      <c r="A174">
        <v>0</v>
      </c>
      <c r="O174" s="6"/>
      <c r="P174">
        <v>1</v>
      </c>
      <c r="AD174" s="6"/>
      <c r="AE174" t="s">
        <v>41</v>
      </c>
      <c r="AU174" s="6"/>
      <c r="AV174" t="s">
        <v>2</v>
      </c>
      <c r="GB174">
        <v>0</v>
      </c>
    </row>
    <row r="175" spans="1:184">
      <c r="A175">
        <v>0</v>
      </c>
      <c r="O175" s="6"/>
      <c r="P175">
        <v>1</v>
      </c>
      <c r="AD175" s="6"/>
      <c r="AE175" t="s">
        <v>41</v>
      </c>
      <c r="AU175" s="6"/>
      <c r="AV175" t="s">
        <v>2</v>
      </c>
      <c r="GB175">
        <v>0</v>
      </c>
    </row>
    <row r="176" spans="1:184">
      <c r="A176">
        <v>0</v>
      </c>
      <c r="O176" s="6"/>
      <c r="P176">
        <v>1</v>
      </c>
      <c r="AD176" s="6"/>
      <c r="AE176" t="s">
        <v>41</v>
      </c>
      <c r="AU176" s="6"/>
      <c r="AV176" t="s">
        <v>2</v>
      </c>
      <c r="GB176">
        <v>0</v>
      </c>
    </row>
    <row r="177" spans="1:184">
      <c r="A177">
        <v>0</v>
      </c>
      <c r="O177" s="6"/>
      <c r="P177">
        <v>1</v>
      </c>
      <c r="AD177" s="6"/>
      <c r="AE177" t="s">
        <v>41</v>
      </c>
      <c r="AU177" s="6"/>
      <c r="AV177" t="s">
        <v>2</v>
      </c>
      <c r="GB177">
        <v>0</v>
      </c>
    </row>
    <row r="178" spans="1:184">
      <c r="A178">
        <v>0</v>
      </c>
      <c r="O178" s="6"/>
      <c r="P178">
        <v>1</v>
      </c>
      <c r="AD178" s="6"/>
      <c r="AE178" t="s">
        <v>41</v>
      </c>
      <c r="AU178" s="6"/>
      <c r="AV178" t="s">
        <v>2</v>
      </c>
      <c r="GB178">
        <v>0</v>
      </c>
    </row>
    <row r="179" spans="1:184">
      <c r="A179">
        <v>0</v>
      </c>
      <c r="O179" s="6"/>
      <c r="P179">
        <v>1</v>
      </c>
      <c r="AD179" s="6"/>
      <c r="AE179" t="s">
        <v>41</v>
      </c>
      <c r="AU179" s="6"/>
      <c r="AV179" t="s">
        <v>2</v>
      </c>
      <c r="GB179">
        <v>0</v>
      </c>
    </row>
    <row r="180" spans="1:184">
      <c r="A180">
        <v>0</v>
      </c>
      <c r="O180" s="6"/>
      <c r="P180">
        <v>1</v>
      </c>
      <c r="AD180" s="6"/>
      <c r="AE180" t="s">
        <v>41</v>
      </c>
      <c r="AU180" s="6"/>
      <c r="AV180" t="s">
        <v>2</v>
      </c>
      <c r="GB180">
        <v>0</v>
      </c>
    </row>
    <row r="181" spans="1:184">
      <c r="A181">
        <v>0</v>
      </c>
      <c r="O181" s="6"/>
      <c r="P181">
        <v>1</v>
      </c>
      <c r="AD181" s="6"/>
      <c r="AE181" t="s">
        <v>41</v>
      </c>
      <c r="AU181" s="6"/>
      <c r="AV181" t="s">
        <v>2</v>
      </c>
      <c r="GB181">
        <v>0</v>
      </c>
    </row>
    <row r="182" spans="1:184">
      <c r="A182">
        <v>0</v>
      </c>
      <c r="O182" s="6"/>
      <c r="P182">
        <v>1</v>
      </c>
      <c r="AD182" s="6"/>
      <c r="AE182" t="s">
        <v>41</v>
      </c>
      <c r="AU182" s="6"/>
      <c r="AV182" t="s">
        <v>2</v>
      </c>
      <c r="GB182">
        <v>0</v>
      </c>
    </row>
    <row r="183" spans="1:184">
      <c r="A183">
        <v>0</v>
      </c>
      <c r="O183" s="6"/>
      <c r="P183">
        <v>1</v>
      </c>
      <c r="AD183" s="6"/>
      <c r="AE183" t="s">
        <v>41</v>
      </c>
      <c r="AU183" s="6"/>
      <c r="AV183" t="s">
        <v>2</v>
      </c>
      <c r="GB183">
        <v>0</v>
      </c>
    </row>
    <row r="184" spans="1:184">
      <c r="A184">
        <v>0</v>
      </c>
      <c r="O184" s="6"/>
      <c r="P184">
        <v>1</v>
      </c>
      <c r="AD184" s="6"/>
      <c r="AE184" t="s">
        <v>41</v>
      </c>
      <c r="AU184" s="6"/>
      <c r="AV184" t="s">
        <v>2</v>
      </c>
      <c r="GB184">
        <v>0</v>
      </c>
    </row>
    <row r="185" spans="1:184">
      <c r="A185">
        <v>0</v>
      </c>
      <c r="O185" s="6"/>
      <c r="P185">
        <v>1</v>
      </c>
      <c r="AD185" s="6"/>
      <c r="AE185" t="s">
        <v>41</v>
      </c>
      <c r="AU185" s="6"/>
      <c r="AV185" t="s">
        <v>2</v>
      </c>
      <c r="GB185">
        <v>0</v>
      </c>
    </row>
    <row r="186" spans="1:184">
      <c r="A186">
        <v>0</v>
      </c>
      <c r="O186" s="6"/>
      <c r="P186">
        <v>1</v>
      </c>
      <c r="AD186" s="6"/>
      <c r="AE186" t="s">
        <v>41</v>
      </c>
      <c r="AU186" s="6"/>
      <c r="AV186" t="s">
        <v>2</v>
      </c>
      <c r="GB186">
        <v>0</v>
      </c>
    </row>
    <row r="187" spans="1:184">
      <c r="A187">
        <v>0</v>
      </c>
      <c r="O187" s="6"/>
      <c r="P187">
        <v>1</v>
      </c>
      <c r="AD187" s="6"/>
      <c r="AE187" t="s">
        <v>41</v>
      </c>
      <c r="AU187" s="6"/>
      <c r="AV187" t="s">
        <v>2</v>
      </c>
      <c r="GB187">
        <v>0</v>
      </c>
    </row>
    <row r="188" spans="1:184">
      <c r="A188">
        <v>0</v>
      </c>
      <c r="O188" s="6"/>
      <c r="P188">
        <v>1</v>
      </c>
      <c r="AD188" s="6"/>
      <c r="AE188" t="s">
        <v>41</v>
      </c>
      <c r="AU188" s="6"/>
      <c r="AV188" t="s">
        <v>2</v>
      </c>
      <c r="GB188">
        <v>0</v>
      </c>
    </row>
    <row r="189" spans="1:184">
      <c r="A189">
        <v>0</v>
      </c>
      <c r="O189" s="6"/>
      <c r="P189">
        <v>1</v>
      </c>
      <c r="AD189" s="6"/>
      <c r="AE189" t="s">
        <v>41</v>
      </c>
      <c r="AU189" s="6"/>
      <c r="AV189" t="s">
        <v>2</v>
      </c>
      <c r="GB189">
        <v>0</v>
      </c>
    </row>
    <row r="190" spans="1:184">
      <c r="A190">
        <v>0</v>
      </c>
      <c r="O190" s="6"/>
      <c r="P190">
        <v>1</v>
      </c>
      <c r="AD190" s="6"/>
      <c r="AE190" t="s">
        <v>41</v>
      </c>
      <c r="AU190" s="6"/>
      <c r="AV190" t="s">
        <v>2</v>
      </c>
      <c r="GB190">
        <v>0</v>
      </c>
    </row>
    <row r="191" spans="1:184">
      <c r="A191">
        <v>0</v>
      </c>
      <c r="O191" s="6"/>
      <c r="P191">
        <v>1</v>
      </c>
      <c r="AD191" s="6"/>
      <c r="AE191" t="s">
        <v>41</v>
      </c>
      <c r="AU191" s="6"/>
      <c r="AV191" t="s">
        <v>2</v>
      </c>
      <c r="GB191">
        <v>0</v>
      </c>
    </row>
    <row r="192" spans="1:184">
      <c r="A192">
        <v>0</v>
      </c>
      <c r="O192" s="6"/>
      <c r="P192">
        <v>1</v>
      </c>
      <c r="AD192" s="6"/>
      <c r="AE192" t="s">
        <v>41</v>
      </c>
      <c r="AU192" s="6"/>
      <c r="AV192" t="s">
        <v>2</v>
      </c>
      <c r="GB192">
        <v>0</v>
      </c>
    </row>
    <row r="193" spans="1:184">
      <c r="A193">
        <v>0</v>
      </c>
      <c r="O193" s="6"/>
      <c r="P193">
        <v>1</v>
      </c>
      <c r="AD193" s="6"/>
      <c r="AE193" t="s">
        <v>41</v>
      </c>
      <c r="AU193" s="6"/>
      <c r="AV193" t="s">
        <v>2</v>
      </c>
      <c r="GB193">
        <v>0</v>
      </c>
    </row>
    <row r="194" spans="1:184">
      <c r="A194">
        <v>0</v>
      </c>
      <c r="O194" s="6"/>
      <c r="P194">
        <v>1</v>
      </c>
      <c r="AD194" s="6"/>
      <c r="AE194" t="s">
        <v>41</v>
      </c>
      <c r="AU194" s="6"/>
      <c r="AV194" t="s">
        <v>2</v>
      </c>
      <c r="GB194">
        <v>0</v>
      </c>
    </row>
    <row r="195" spans="1:184">
      <c r="A195">
        <v>0</v>
      </c>
      <c r="O195" s="6"/>
      <c r="P195">
        <v>1</v>
      </c>
      <c r="AD195" s="6"/>
      <c r="AE195" t="s">
        <v>41</v>
      </c>
      <c r="AU195" s="6"/>
      <c r="AV195" t="s">
        <v>2</v>
      </c>
      <c r="GB195">
        <v>0</v>
      </c>
    </row>
    <row r="196" spans="1:184">
      <c r="A196">
        <v>0</v>
      </c>
      <c r="O196" s="6"/>
      <c r="P196">
        <v>1</v>
      </c>
      <c r="AD196" s="6"/>
      <c r="AE196" t="s">
        <v>41</v>
      </c>
      <c r="AU196" s="6"/>
      <c r="AV196" t="s">
        <v>2</v>
      </c>
      <c r="GB196">
        <v>0</v>
      </c>
    </row>
    <row r="197" spans="1:184">
      <c r="A197">
        <v>0</v>
      </c>
      <c r="O197" s="6"/>
      <c r="P197">
        <v>1</v>
      </c>
      <c r="AD197" s="6"/>
      <c r="AE197" t="s">
        <v>41</v>
      </c>
      <c r="AU197" s="6"/>
      <c r="AV197" t="s">
        <v>2</v>
      </c>
      <c r="GB197">
        <v>0</v>
      </c>
    </row>
    <row r="198" spans="1:184">
      <c r="A198">
        <v>0</v>
      </c>
      <c r="O198" s="6"/>
      <c r="P198">
        <v>1</v>
      </c>
      <c r="AD198" s="6"/>
      <c r="AE198" t="s">
        <v>41</v>
      </c>
      <c r="AU198" s="6"/>
      <c r="AV198" t="s">
        <v>2</v>
      </c>
      <c r="GB198">
        <v>0</v>
      </c>
    </row>
    <row r="199" spans="1:184">
      <c r="A199">
        <v>0</v>
      </c>
      <c r="O199" s="6"/>
      <c r="P199">
        <v>1</v>
      </c>
      <c r="AD199" s="6"/>
      <c r="AE199" t="s">
        <v>41</v>
      </c>
      <c r="AU199" s="6"/>
      <c r="AV199" t="s">
        <v>2</v>
      </c>
      <c r="GB199">
        <v>0</v>
      </c>
    </row>
    <row r="200" spans="1:184">
      <c r="A200">
        <v>0</v>
      </c>
      <c r="O200" s="6"/>
      <c r="P200">
        <v>1</v>
      </c>
      <c r="AD200" s="6"/>
      <c r="AE200" t="s">
        <v>41</v>
      </c>
      <c r="AU200" s="6"/>
      <c r="AV200" t="s">
        <v>2</v>
      </c>
      <c r="GB200">
        <v>0</v>
      </c>
    </row>
    <row r="201" spans="1:184">
      <c r="A201">
        <v>0</v>
      </c>
      <c r="O201" s="6"/>
      <c r="P201">
        <v>1</v>
      </c>
      <c r="AD201" s="6"/>
      <c r="AE201" t="s">
        <v>41</v>
      </c>
      <c r="AU201" s="6"/>
      <c r="AV201" t="s">
        <v>2</v>
      </c>
      <c r="GB201">
        <v>0</v>
      </c>
    </row>
    <row r="202" spans="1:184">
      <c r="A202">
        <v>0</v>
      </c>
      <c r="O202" s="6"/>
      <c r="P202">
        <v>1</v>
      </c>
      <c r="AD202" s="6"/>
      <c r="AE202" t="s">
        <v>41</v>
      </c>
      <c r="AU202" s="6"/>
      <c r="AV202" t="s">
        <v>2</v>
      </c>
      <c r="GB202">
        <v>0</v>
      </c>
    </row>
    <row r="203" spans="1:184">
      <c r="A203">
        <v>0</v>
      </c>
      <c r="O203" s="6"/>
      <c r="P203">
        <v>1</v>
      </c>
      <c r="AD203" s="6"/>
      <c r="AE203" t="s">
        <v>41</v>
      </c>
      <c r="AU203" s="6"/>
      <c r="AV203" t="s">
        <v>2</v>
      </c>
      <c r="GB203">
        <v>0</v>
      </c>
    </row>
    <row r="204" spans="1:184">
      <c r="A204">
        <v>0</v>
      </c>
      <c r="O204" s="6"/>
      <c r="P204">
        <v>1</v>
      </c>
      <c r="AD204" s="6"/>
      <c r="AE204" t="s">
        <v>41</v>
      </c>
      <c r="AU204" s="6"/>
      <c r="AV204" t="s">
        <v>2</v>
      </c>
      <c r="GB204">
        <v>0</v>
      </c>
    </row>
    <row r="205" spans="1:184">
      <c r="A205">
        <v>0</v>
      </c>
      <c r="O205" s="6"/>
      <c r="P205">
        <v>1</v>
      </c>
      <c r="AD205" s="6"/>
      <c r="AE205" t="s">
        <v>41</v>
      </c>
      <c r="AU205" s="6"/>
      <c r="AV205" t="s">
        <v>2</v>
      </c>
      <c r="GB205">
        <v>0</v>
      </c>
    </row>
    <row r="206" spans="1:184">
      <c r="A206">
        <v>0</v>
      </c>
      <c r="O206" s="6"/>
      <c r="P206">
        <v>1</v>
      </c>
      <c r="AD206" s="6"/>
      <c r="AE206" t="s">
        <v>41</v>
      </c>
      <c r="AU206" s="6"/>
      <c r="AV206" t="s">
        <v>2</v>
      </c>
      <c r="GB206">
        <v>0</v>
      </c>
    </row>
    <row r="207" spans="1:184">
      <c r="A207">
        <v>0</v>
      </c>
      <c r="O207" s="6"/>
      <c r="P207">
        <v>1</v>
      </c>
      <c r="AD207" s="6"/>
      <c r="AE207" t="s">
        <v>41</v>
      </c>
      <c r="AU207" s="6"/>
      <c r="AV207" t="s">
        <v>2</v>
      </c>
      <c r="GB207">
        <v>0</v>
      </c>
    </row>
    <row r="208" spans="1:184">
      <c r="A208">
        <v>0</v>
      </c>
      <c r="O208" s="6"/>
      <c r="P208">
        <v>1</v>
      </c>
      <c r="AD208" s="6"/>
      <c r="AE208" t="s">
        <v>41</v>
      </c>
      <c r="AU208" s="6"/>
      <c r="AV208" t="s">
        <v>2</v>
      </c>
      <c r="GB208">
        <v>0</v>
      </c>
    </row>
    <row r="209" spans="1:184">
      <c r="A209">
        <v>0</v>
      </c>
      <c r="O209" s="6"/>
      <c r="P209">
        <v>1</v>
      </c>
      <c r="AD209" s="6"/>
      <c r="AE209" t="s">
        <v>41</v>
      </c>
      <c r="AU209" s="6"/>
      <c r="AV209" t="s">
        <v>2</v>
      </c>
      <c r="GB209">
        <v>0</v>
      </c>
    </row>
    <row r="210" spans="1:184">
      <c r="A210">
        <v>0</v>
      </c>
      <c r="O210" s="6"/>
      <c r="P210">
        <v>1</v>
      </c>
      <c r="AD210" s="6"/>
      <c r="AE210" t="s">
        <v>41</v>
      </c>
      <c r="AU210" s="6"/>
      <c r="AV210" t="s">
        <v>2</v>
      </c>
      <c r="GB210">
        <v>0</v>
      </c>
    </row>
    <row r="211" spans="1:184">
      <c r="A211">
        <v>0</v>
      </c>
      <c r="O211" s="6"/>
      <c r="P211">
        <v>1</v>
      </c>
      <c r="AD211" s="6"/>
      <c r="AE211" t="s">
        <v>41</v>
      </c>
      <c r="AU211" s="6"/>
      <c r="AV211" t="s">
        <v>2</v>
      </c>
      <c r="GB211">
        <v>0</v>
      </c>
    </row>
    <row r="212" spans="1:184">
      <c r="A212">
        <v>0</v>
      </c>
      <c r="O212" s="6"/>
      <c r="P212">
        <v>1</v>
      </c>
      <c r="AD212" s="6"/>
      <c r="AE212" t="s">
        <v>41</v>
      </c>
      <c r="AU212" s="6"/>
      <c r="AV212" t="s">
        <v>2</v>
      </c>
      <c r="GB212">
        <v>0</v>
      </c>
    </row>
    <row r="213" spans="1:184">
      <c r="A213">
        <v>0</v>
      </c>
      <c r="O213" s="6"/>
      <c r="P213">
        <v>1</v>
      </c>
      <c r="AD213" s="6"/>
      <c r="AE213" t="s">
        <v>41</v>
      </c>
      <c r="AU213" s="6"/>
      <c r="AV213" t="s">
        <v>2</v>
      </c>
      <c r="GB213">
        <v>0</v>
      </c>
    </row>
    <row r="214" spans="1:184">
      <c r="A214">
        <v>0</v>
      </c>
      <c r="O214" s="6"/>
      <c r="P214">
        <v>1</v>
      </c>
      <c r="AD214" s="6"/>
      <c r="AE214" t="s">
        <v>41</v>
      </c>
      <c r="AU214" s="6"/>
      <c r="AV214" t="s">
        <v>2</v>
      </c>
      <c r="GB214">
        <v>0</v>
      </c>
    </row>
    <row r="215" spans="1:184">
      <c r="A215">
        <v>0</v>
      </c>
      <c r="O215" s="6"/>
      <c r="P215">
        <v>1</v>
      </c>
      <c r="AD215" s="6"/>
      <c r="AE215" t="s">
        <v>41</v>
      </c>
      <c r="AU215" s="6"/>
      <c r="AV215" t="s">
        <v>2</v>
      </c>
      <c r="GB215">
        <v>0</v>
      </c>
    </row>
    <row r="216" spans="1:184">
      <c r="A216">
        <v>0</v>
      </c>
      <c r="O216" s="6"/>
      <c r="P216">
        <v>2</v>
      </c>
      <c r="AD216" s="6"/>
      <c r="AE216" t="s">
        <v>41</v>
      </c>
      <c r="AU216" s="6"/>
      <c r="AV216" t="s">
        <v>2</v>
      </c>
      <c r="GB216">
        <v>0</v>
      </c>
    </row>
    <row r="217" spans="1:184">
      <c r="A217">
        <v>0</v>
      </c>
      <c r="O217" s="6"/>
      <c r="P217">
        <v>2</v>
      </c>
      <c r="AD217" s="6"/>
      <c r="AE217" t="s">
        <v>41</v>
      </c>
      <c r="AU217" s="6"/>
      <c r="AV217" t="s">
        <v>2</v>
      </c>
      <c r="GB217">
        <v>0</v>
      </c>
    </row>
    <row r="218" spans="1:184">
      <c r="A218">
        <v>0</v>
      </c>
      <c r="O218" s="6"/>
      <c r="P218">
        <v>2</v>
      </c>
      <c r="AD218" s="6"/>
      <c r="AE218" t="s">
        <v>41</v>
      </c>
      <c r="AU218" s="6"/>
      <c r="AV218" t="s">
        <v>2</v>
      </c>
      <c r="GB218">
        <v>0</v>
      </c>
    </row>
    <row r="219" spans="1:184">
      <c r="A219">
        <v>0</v>
      </c>
      <c r="O219" s="6"/>
      <c r="P219">
        <v>2</v>
      </c>
      <c r="AD219" s="6"/>
      <c r="AE219" t="s">
        <v>41</v>
      </c>
      <c r="AU219" s="6"/>
      <c r="AV219" t="s">
        <v>2</v>
      </c>
      <c r="GB219">
        <v>0</v>
      </c>
    </row>
    <row r="220" spans="1:184">
      <c r="A220">
        <v>0</v>
      </c>
      <c r="O220" s="6"/>
      <c r="P220">
        <v>2</v>
      </c>
      <c r="AD220" s="6"/>
      <c r="AE220" t="s">
        <v>41</v>
      </c>
      <c r="AU220" s="6"/>
      <c r="AV220" t="s">
        <v>2</v>
      </c>
      <c r="GB220">
        <v>0</v>
      </c>
    </row>
    <row r="221" spans="1:184">
      <c r="A221">
        <v>0</v>
      </c>
      <c r="O221" s="6"/>
      <c r="P221">
        <v>2</v>
      </c>
      <c r="AD221" s="6"/>
      <c r="AE221" t="s">
        <v>41</v>
      </c>
      <c r="AU221" s="6"/>
      <c r="AV221" t="s">
        <v>2</v>
      </c>
      <c r="GB221">
        <v>0</v>
      </c>
    </row>
    <row r="222" spans="1:184">
      <c r="A222">
        <v>0</v>
      </c>
      <c r="O222" s="6"/>
      <c r="P222">
        <v>2</v>
      </c>
      <c r="AD222" s="6"/>
      <c r="AE222" t="s">
        <v>41</v>
      </c>
      <c r="AU222" s="6"/>
      <c r="AV222" t="s">
        <v>2</v>
      </c>
      <c r="GB222">
        <v>0</v>
      </c>
    </row>
    <row r="223" spans="1:184">
      <c r="A223">
        <v>0</v>
      </c>
      <c r="O223" s="6"/>
      <c r="P223">
        <v>2</v>
      </c>
      <c r="AD223" s="6"/>
      <c r="AE223" t="s">
        <v>41</v>
      </c>
      <c r="AU223" s="6"/>
      <c r="AV223" t="s">
        <v>2</v>
      </c>
      <c r="GB223">
        <v>0</v>
      </c>
    </row>
    <row r="224" spans="1:184">
      <c r="A224">
        <v>0</v>
      </c>
      <c r="O224" s="6"/>
      <c r="P224">
        <v>2</v>
      </c>
      <c r="AD224" s="6"/>
      <c r="AE224" t="s">
        <v>41</v>
      </c>
      <c r="AU224" s="6"/>
      <c r="AV224" t="s">
        <v>2</v>
      </c>
      <c r="GB224">
        <v>0</v>
      </c>
    </row>
    <row r="225" spans="1:184">
      <c r="A225">
        <v>0</v>
      </c>
      <c r="O225" s="6"/>
      <c r="P225">
        <v>2</v>
      </c>
      <c r="AD225" s="6"/>
      <c r="AE225" t="s">
        <v>41</v>
      </c>
      <c r="AU225" s="6"/>
      <c r="AV225" t="s">
        <v>2</v>
      </c>
      <c r="GB225">
        <v>0</v>
      </c>
    </row>
    <row r="226" spans="1:184">
      <c r="A226">
        <v>0</v>
      </c>
      <c r="O226" s="6"/>
      <c r="P226">
        <v>2</v>
      </c>
      <c r="AD226" s="6"/>
      <c r="AE226" t="s">
        <v>41</v>
      </c>
      <c r="AU226" s="6"/>
      <c r="AV226" t="s">
        <v>2</v>
      </c>
      <c r="GB226">
        <v>0</v>
      </c>
    </row>
    <row r="227" spans="1:184">
      <c r="A227">
        <v>0</v>
      </c>
      <c r="O227" s="6"/>
      <c r="P227">
        <v>2</v>
      </c>
      <c r="AD227" s="6"/>
      <c r="AE227" t="s">
        <v>41</v>
      </c>
      <c r="AU227" s="6"/>
      <c r="AV227" t="s">
        <v>2</v>
      </c>
      <c r="GB227">
        <v>0</v>
      </c>
    </row>
    <row r="228" spans="1:184">
      <c r="A228">
        <v>0</v>
      </c>
      <c r="O228" s="6"/>
      <c r="P228">
        <v>2</v>
      </c>
      <c r="AD228" s="6"/>
      <c r="AE228" t="s">
        <v>41</v>
      </c>
      <c r="AU228" s="6"/>
      <c r="AV228" t="s">
        <v>2</v>
      </c>
      <c r="GB228">
        <v>0</v>
      </c>
    </row>
    <row r="229" spans="1:184">
      <c r="A229">
        <v>0</v>
      </c>
      <c r="O229" s="6"/>
      <c r="P229">
        <v>2</v>
      </c>
      <c r="AD229" s="6"/>
      <c r="AE229" t="s">
        <v>41</v>
      </c>
      <c r="AU229" s="6"/>
      <c r="AV229" t="s">
        <v>2</v>
      </c>
      <c r="GB229">
        <v>0</v>
      </c>
    </row>
    <row r="230" spans="1:184">
      <c r="A230">
        <v>0</v>
      </c>
      <c r="O230" s="6"/>
      <c r="P230">
        <v>2</v>
      </c>
      <c r="AD230" s="6"/>
      <c r="AE230" t="s">
        <v>41</v>
      </c>
      <c r="AU230" s="6"/>
      <c r="AV230" t="s">
        <v>2</v>
      </c>
      <c r="GB230">
        <v>0</v>
      </c>
    </row>
    <row r="231" spans="1:184">
      <c r="A231">
        <v>0</v>
      </c>
      <c r="O231" s="6"/>
      <c r="P231">
        <v>2</v>
      </c>
      <c r="AD231" s="6"/>
      <c r="AE231" t="s">
        <v>41</v>
      </c>
      <c r="AU231" s="6"/>
      <c r="AV231" t="s">
        <v>2</v>
      </c>
      <c r="GB231">
        <v>0</v>
      </c>
    </row>
    <row r="232" spans="1:184">
      <c r="A232">
        <v>0</v>
      </c>
      <c r="O232" s="6"/>
      <c r="P232">
        <v>2</v>
      </c>
      <c r="AD232" s="6"/>
      <c r="AE232" t="s">
        <v>41</v>
      </c>
      <c r="AU232" s="6"/>
      <c r="AV232" t="s">
        <v>2</v>
      </c>
      <c r="GB232">
        <v>0</v>
      </c>
    </row>
    <row r="233" spans="1:184">
      <c r="A233">
        <v>0</v>
      </c>
      <c r="O233" s="6"/>
      <c r="P233">
        <v>2</v>
      </c>
      <c r="AD233" s="6"/>
      <c r="AE233" t="s">
        <v>41</v>
      </c>
      <c r="AU233" s="6"/>
      <c r="AV233" t="s">
        <v>2</v>
      </c>
      <c r="GB233">
        <v>0</v>
      </c>
    </row>
    <row r="234" spans="1:184">
      <c r="A234">
        <v>0</v>
      </c>
      <c r="O234" s="6"/>
      <c r="P234">
        <v>2</v>
      </c>
      <c r="AD234" s="6"/>
      <c r="AE234" t="s">
        <v>41</v>
      </c>
      <c r="AU234" s="6"/>
      <c r="AV234" t="s">
        <v>2</v>
      </c>
      <c r="GB234">
        <v>0</v>
      </c>
    </row>
    <row r="235" spans="1:184">
      <c r="A235">
        <v>0</v>
      </c>
      <c r="O235" s="6"/>
      <c r="P235">
        <v>2</v>
      </c>
      <c r="AD235" s="6"/>
      <c r="AE235" t="s">
        <v>41</v>
      </c>
      <c r="AU235" s="6"/>
      <c r="AV235" t="s">
        <v>2</v>
      </c>
      <c r="GB235">
        <v>0</v>
      </c>
    </row>
    <row r="236" spans="1:184">
      <c r="A236">
        <v>0</v>
      </c>
      <c r="O236" s="6"/>
      <c r="P236">
        <v>2</v>
      </c>
      <c r="AD236" s="6"/>
      <c r="AE236" t="s">
        <v>41</v>
      </c>
      <c r="AU236" s="6"/>
      <c r="AV236" t="s">
        <v>2</v>
      </c>
      <c r="GB236">
        <v>0</v>
      </c>
    </row>
    <row r="237" spans="1:184">
      <c r="A237">
        <v>0</v>
      </c>
      <c r="O237" s="6"/>
      <c r="P237">
        <v>2</v>
      </c>
      <c r="AD237" s="6"/>
      <c r="AE237" t="s">
        <v>41</v>
      </c>
      <c r="AU237" s="6"/>
      <c r="AV237" t="s">
        <v>2</v>
      </c>
      <c r="GB237">
        <v>0</v>
      </c>
    </row>
    <row r="238" spans="1:184">
      <c r="A238">
        <v>0</v>
      </c>
      <c r="O238" s="6"/>
      <c r="P238">
        <v>2</v>
      </c>
      <c r="AD238" s="6"/>
      <c r="AE238" t="s">
        <v>41</v>
      </c>
      <c r="AU238" s="6"/>
      <c r="AV238" t="s">
        <v>2</v>
      </c>
      <c r="GB238">
        <v>0</v>
      </c>
    </row>
    <row r="239" spans="1:184">
      <c r="A239">
        <v>0</v>
      </c>
      <c r="O239" s="6"/>
      <c r="P239">
        <v>2</v>
      </c>
      <c r="AD239" s="6"/>
      <c r="AE239" t="s">
        <v>41</v>
      </c>
      <c r="AU239" s="6"/>
      <c r="AV239" t="s">
        <v>2</v>
      </c>
      <c r="GB239">
        <v>0</v>
      </c>
    </row>
    <row r="240" spans="1:184">
      <c r="A240">
        <v>0</v>
      </c>
      <c r="O240" s="6"/>
      <c r="P240">
        <v>2</v>
      </c>
      <c r="AD240" s="6"/>
      <c r="AE240" t="s">
        <v>41</v>
      </c>
      <c r="AU240" s="6"/>
      <c r="AV240" t="s">
        <v>2</v>
      </c>
      <c r="GB240">
        <v>0</v>
      </c>
    </row>
    <row r="241" spans="1:184">
      <c r="A241">
        <v>0</v>
      </c>
      <c r="O241" s="6"/>
      <c r="P241">
        <v>2</v>
      </c>
      <c r="AD241" s="6"/>
      <c r="AE241" t="s">
        <v>41</v>
      </c>
      <c r="AU241" s="6"/>
      <c r="AV241" t="s">
        <v>2</v>
      </c>
      <c r="GB241">
        <v>0</v>
      </c>
    </row>
    <row r="242" spans="1:184">
      <c r="A242">
        <v>0</v>
      </c>
      <c r="O242" s="6"/>
      <c r="P242">
        <v>2</v>
      </c>
      <c r="AD242" s="6"/>
      <c r="AE242" t="s">
        <v>41</v>
      </c>
      <c r="AU242" s="6"/>
      <c r="AV242" t="s">
        <v>2</v>
      </c>
      <c r="GB242">
        <v>0</v>
      </c>
    </row>
    <row r="243" spans="1:184">
      <c r="A243">
        <v>0</v>
      </c>
      <c r="O243" s="6"/>
      <c r="P243">
        <v>2</v>
      </c>
      <c r="AD243" s="6"/>
      <c r="AE243" t="s">
        <v>41</v>
      </c>
      <c r="AU243" s="6"/>
      <c r="AV243" t="s">
        <v>2</v>
      </c>
      <c r="GB243">
        <v>0</v>
      </c>
    </row>
    <row r="244" spans="1:184">
      <c r="A244">
        <v>0</v>
      </c>
      <c r="O244" s="6"/>
      <c r="P244">
        <v>2</v>
      </c>
      <c r="AD244" s="6"/>
      <c r="AE244" t="s">
        <v>41</v>
      </c>
      <c r="AU244" s="6"/>
      <c r="AV244" t="s">
        <v>2</v>
      </c>
      <c r="GB244">
        <v>0</v>
      </c>
    </row>
    <row r="245" spans="1:184">
      <c r="A245">
        <v>0</v>
      </c>
      <c r="O245" s="6"/>
      <c r="P245">
        <v>2</v>
      </c>
      <c r="AD245" s="6"/>
      <c r="AE245" t="s">
        <v>41</v>
      </c>
      <c r="AU245" s="6"/>
      <c r="AV245" t="s">
        <v>2</v>
      </c>
      <c r="GB245">
        <v>0</v>
      </c>
    </row>
    <row r="246" spans="1:184">
      <c r="A246">
        <v>0</v>
      </c>
      <c r="O246" s="6"/>
      <c r="P246">
        <v>2</v>
      </c>
      <c r="AD246" s="6"/>
      <c r="AE246" t="s">
        <v>41</v>
      </c>
      <c r="AU246" s="6"/>
      <c r="AV246" t="s">
        <v>2</v>
      </c>
      <c r="GB246">
        <v>0</v>
      </c>
    </row>
    <row r="247" spans="1:184">
      <c r="A247">
        <v>0</v>
      </c>
      <c r="O247" s="6"/>
      <c r="P247">
        <v>2</v>
      </c>
      <c r="AD247" s="6"/>
      <c r="AE247" t="s">
        <v>41</v>
      </c>
      <c r="AU247" s="6"/>
      <c r="AV247" t="s">
        <v>0</v>
      </c>
      <c r="GB247">
        <v>0</v>
      </c>
    </row>
    <row r="248" spans="1:184">
      <c r="A248">
        <v>0</v>
      </c>
      <c r="O248" s="6"/>
      <c r="P248">
        <v>2</v>
      </c>
      <c r="AD248" s="6"/>
      <c r="AE248" t="s">
        <v>41</v>
      </c>
      <c r="AU248" s="6"/>
      <c r="AV248" t="s">
        <v>0</v>
      </c>
      <c r="GB248">
        <v>0</v>
      </c>
    </row>
    <row r="249" spans="1:184">
      <c r="A249">
        <v>0</v>
      </c>
      <c r="O249" s="6"/>
      <c r="P249">
        <v>2</v>
      </c>
      <c r="AD249" s="6"/>
      <c r="AE249" t="s">
        <v>41</v>
      </c>
      <c r="AU249" s="6"/>
      <c r="AV249" t="s">
        <v>0</v>
      </c>
      <c r="GB249">
        <v>0</v>
      </c>
    </row>
    <row r="250" spans="1:184">
      <c r="A250">
        <v>0</v>
      </c>
      <c r="O250" s="6"/>
      <c r="P250">
        <v>2</v>
      </c>
      <c r="AD250" s="6"/>
      <c r="AE250" t="s">
        <v>41</v>
      </c>
      <c r="AU250" s="6"/>
      <c r="AV250" t="s">
        <v>0</v>
      </c>
      <c r="GB250">
        <v>0</v>
      </c>
    </row>
    <row r="251" spans="1:184">
      <c r="A251">
        <v>0</v>
      </c>
      <c r="O251" s="6"/>
      <c r="P251">
        <v>2</v>
      </c>
      <c r="AD251" s="6"/>
      <c r="AE251" t="s">
        <v>41</v>
      </c>
      <c r="AU251" s="6"/>
      <c r="AV251" t="s">
        <v>0</v>
      </c>
      <c r="GB251">
        <v>0</v>
      </c>
    </row>
    <row r="252" spans="1:184">
      <c r="A252">
        <v>0</v>
      </c>
      <c r="O252" s="6"/>
      <c r="P252">
        <v>2</v>
      </c>
      <c r="AD252" s="6"/>
      <c r="AE252" t="s">
        <v>41</v>
      </c>
      <c r="AU252" s="6"/>
      <c r="AV252" t="s">
        <v>0</v>
      </c>
      <c r="GB252">
        <v>0</v>
      </c>
    </row>
    <row r="253" spans="1:184">
      <c r="A253">
        <v>0</v>
      </c>
      <c r="O253" s="6"/>
      <c r="P253">
        <v>2</v>
      </c>
      <c r="AD253" s="6"/>
      <c r="AE253" t="s">
        <v>41</v>
      </c>
      <c r="AU253" s="6"/>
      <c r="AV253" t="s">
        <v>0</v>
      </c>
      <c r="GB253">
        <v>0</v>
      </c>
    </row>
    <row r="254" spans="1:184">
      <c r="A254">
        <v>0</v>
      </c>
      <c r="O254" s="6"/>
      <c r="P254">
        <v>2</v>
      </c>
      <c r="AD254" s="6"/>
      <c r="AE254" t="s">
        <v>41</v>
      </c>
      <c r="AU254" s="6"/>
      <c r="AV254" t="s">
        <v>0</v>
      </c>
      <c r="GB254">
        <v>0</v>
      </c>
    </row>
    <row r="255" spans="1:184">
      <c r="A255">
        <v>0</v>
      </c>
      <c r="O255" s="6"/>
      <c r="P255">
        <v>2</v>
      </c>
      <c r="AD255" s="6"/>
      <c r="AE255" t="s">
        <v>41</v>
      </c>
      <c r="AU255" s="6"/>
      <c r="AV255" t="s">
        <v>0</v>
      </c>
      <c r="GB255">
        <v>0</v>
      </c>
    </row>
    <row r="256" spans="1:184">
      <c r="A256">
        <v>0</v>
      </c>
      <c r="O256" s="6"/>
      <c r="P256">
        <v>2</v>
      </c>
      <c r="AD256" s="6"/>
      <c r="AE256" t="s">
        <v>41</v>
      </c>
      <c r="AU256" s="6"/>
      <c r="AV256" t="s">
        <v>0</v>
      </c>
      <c r="GB256">
        <v>0</v>
      </c>
    </row>
    <row r="257" spans="1:184">
      <c r="A257">
        <v>0</v>
      </c>
      <c r="O257" s="6"/>
      <c r="P257">
        <v>2</v>
      </c>
      <c r="AD257" s="6"/>
      <c r="AE257" t="s">
        <v>41</v>
      </c>
      <c r="AU257" s="6"/>
      <c r="AV257" t="s">
        <v>0</v>
      </c>
      <c r="GB257">
        <v>0</v>
      </c>
    </row>
    <row r="258" spans="1:184">
      <c r="A258">
        <v>0</v>
      </c>
      <c r="O258" s="6"/>
      <c r="P258">
        <v>2</v>
      </c>
      <c r="AD258" s="6"/>
      <c r="AE258" t="s">
        <v>41</v>
      </c>
      <c r="AU258" s="6"/>
      <c r="AV258" t="s">
        <v>0</v>
      </c>
      <c r="GB258">
        <v>0</v>
      </c>
    </row>
    <row r="259" spans="1:184">
      <c r="A259">
        <v>0</v>
      </c>
      <c r="O259" s="6"/>
      <c r="P259">
        <v>2</v>
      </c>
      <c r="AD259" s="6"/>
      <c r="AE259" t="s">
        <v>41</v>
      </c>
      <c r="AU259" s="6"/>
      <c r="AV259" t="s">
        <v>0</v>
      </c>
      <c r="GB259">
        <v>0</v>
      </c>
    </row>
    <row r="260" spans="1:184">
      <c r="A260">
        <v>0</v>
      </c>
      <c r="O260" s="6"/>
      <c r="P260">
        <v>2</v>
      </c>
      <c r="AD260" s="6"/>
      <c r="AE260" t="s">
        <v>41</v>
      </c>
      <c r="AU260" s="6"/>
      <c r="AV260" t="s">
        <v>0</v>
      </c>
      <c r="GB260">
        <v>0</v>
      </c>
    </row>
    <row r="261" spans="1:184">
      <c r="A261">
        <v>0</v>
      </c>
      <c r="O261" s="6"/>
      <c r="P261">
        <v>2</v>
      </c>
      <c r="AD261" s="6"/>
      <c r="AE261" t="s">
        <v>41</v>
      </c>
      <c r="AU261" s="6"/>
      <c r="AV261" t="s">
        <v>0</v>
      </c>
      <c r="GB261">
        <v>0</v>
      </c>
    </row>
    <row r="262" spans="1:184">
      <c r="A262">
        <v>0</v>
      </c>
      <c r="O262" s="6"/>
      <c r="P262">
        <v>2</v>
      </c>
      <c r="AD262" s="6"/>
      <c r="AE262" t="s">
        <v>41</v>
      </c>
      <c r="AU262" s="6"/>
      <c r="AV262" t="s">
        <v>0</v>
      </c>
      <c r="GB262">
        <v>0</v>
      </c>
    </row>
    <row r="263" spans="1:184">
      <c r="A263">
        <v>0</v>
      </c>
      <c r="O263" s="6"/>
      <c r="P263">
        <v>2</v>
      </c>
      <c r="AD263" s="6"/>
      <c r="AE263" t="s">
        <v>41</v>
      </c>
      <c r="AU263" s="6"/>
      <c r="AV263" t="s">
        <v>0</v>
      </c>
      <c r="GB263">
        <v>0</v>
      </c>
    </row>
    <row r="264" spans="1:184">
      <c r="A264">
        <v>0</v>
      </c>
      <c r="O264" s="6"/>
      <c r="P264">
        <v>2</v>
      </c>
      <c r="AD264" s="6"/>
      <c r="AE264" t="s">
        <v>41</v>
      </c>
      <c r="AU264" s="6"/>
      <c r="AV264" t="s">
        <v>0</v>
      </c>
      <c r="GB264">
        <v>0</v>
      </c>
    </row>
    <row r="265" spans="1:184">
      <c r="A265">
        <v>0</v>
      </c>
      <c r="O265" s="6"/>
      <c r="P265">
        <v>2</v>
      </c>
      <c r="AD265" s="6"/>
      <c r="AE265" t="s">
        <v>41</v>
      </c>
      <c r="AU265" s="6"/>
      <c r="AV265" t="s">
        <v>0</v>
      </c>
      <c r="GB265">
        <v>0</v>
      </c>
    </row>
    <row r="266" spans="1:184">
      <c r="A266">
        <v>0</v>
      </c>
      <c r="O266" s="6"/>
      <c r="P266">
        <v>2</v>
      </c>
      <c r="AD266" s="6"/>
      <c r="AE266" t="s">
        <v>41</v>
      </c>
      <c r="AU266" s="6"/>
      <c r="AV266" t="s">
        <v>0</v>
      </c>
      <c r="GB266">
        <v>0</v>
      </c>
    </row>
    <row r="267" spans="1:184">
      <c r="A267">
        <v>0</v>
      </c>
      <c r="O267" s="6"/>
      <c r="P267">
        <v>2</v>
      </c>
      <c r="AD267" s="6"/>
      <c r="AE267" t="s">
        <v>41</v>
      </c>
      <c r="AU267" s="6"/>
      <c r="AV267" t="s">
        <v>0</v>
      </c>
      <c r="GB267">
        <v>0</v>
      </c>
    </row>
    <row r="268" spans="1:184">
      <c r="A268">
        <v>0</v>
      </c>
      <c r="O268" s="6"/>
      <c r="P268">
        <v>2</v>
      </c>
      <c r="AD268" s="6"/>
      <c r="AE268" t="s">
        <v>41</v>
      </c>
      <c r="AU268" s="6"/>
      <c r="AV268" t="s">
        <v>0</v>
      </c>
      <c r="GB268">
        <v>0</v>
      </c>
    </row>
    <row r="269" spans="1:184">
      <c r="A269">
        <v>0</v>
      </c>
      <c r="O269" s="6"/>
      <c r="P269">
        <v>2</v>
      </c>
      <c r="AD269" s="6"/>
      <c r="AE269" t="s">
        <v>41</v>
      </c>
      <c r="AU269" s="6"/>
      <c r="AV269" t="s">
        <v>0</v>
      </c>
      <c r="GB269">
        <v>0</v>
      </c>
    </row>
    <row r="270" spans="1:184">
      <c r="A270">
        <v>0</v>
      </c>
      <c r="O270" s="6"/>
      <c r="P270">
        <v>2</v>
      </c>
      <c r="AD270" s="6"/>
      <c r="AE270" t="s">
        <v>41</v>
      </c>
      <c r="AU270" s="6"/>
      <c r="AV270" t="s">
        <v>0</v>
      </c>
      <c r="GB270">
        <v>0</v>
      </c>
    </row>
    <row r="271" spans="1:184">
      <c r="A271">
        <v>0</v>
      </c>
      <c r="O271" s="6"/>
      <c r="P271">
        <v>2</v>
      </c>
      <c r="AD271" s="6"/>
      <c r="AE271" t="s">
        <v>41</v>
      </c>
      <c r="AU271" s="6"/>
      <c r="AV271" t="s">
        <v>0</v>
      </c>
      <c r="GB271">
        <v>0</v>
      </c>
    </row>
    <row r="272" spans="1:184">
      <c r="A272">
        <v>0</v>
      </c>
      <c r="O272" s="6"/>
      <c r="P272">
        <v>2</v>
      </c>
      <c r="AD272" s="6"/>
      <c r="AE272" t="s">
        <v>41</v>
      </c>
      <c r="AU272" s="6"/>
      <c r="AV272" t="s">
        <v>0</v>
      </c>
      <c r="GB272">
        <v>0</v>
      </c>
    </row>
    <row r="273" spans="1:184">
      <c r="A273">
        <v>0</v>
      </c>
      <c r="O273" s="6"/>
      <c r="P273">
        <v>2</v>
      </c>
      <c r="AD273" s="6"/>
      <c r="AE273" t="s">
        <v>41</v>
      </c>
      <c r="AU273" s="6"/>
      <c r="AV273" t="s">
        <v>0</v>
      </c>
      <c r="GB273">
        <v>0</v>
      </c>
    </row>
    <row r="274" spans="1:184">
      <c r="A274">
        <v>0</v>
      </c>
      <c r="O274" s="6"/>
      <c r="P274">
        <v>2</v>
      </c>
      <c r="AD274" s="6"/>
      <c r="AE274" t="s">
        <v>41</v>
      </c>
      <c r="AU274" s="6"/>
      <c r="AV274" t="s">
        <v>0</v>
      </c>
      <c r="GB274">
        <v>0</v>
      </c>
    </row>
    <row r="275" spans="1:184">
      <c r="A275">
        <v>0</v>
      </c>
      <c r="O275" s="6"/>
      <c r="P275">
        <v>2</v>
      </c>
      <c r="AD275" s="6"/>
      <c r="AE275" t="s">
        <v>41</v>
      </c>
      <c r="AU275" s="6"/>
      <c r="AV275" t="s">
        <v>0</v>
      </c>
      <c r="GB275">
        <v>0</v>
      </c>
    </row>
    <row r="276" spans="1:184">
      <c r="A276">
        <v>0</v>
      </c>
      <c r="O276" s="6"/>
      <c r="P276">
        <v>2</v>
      </c>
      <c r="AD276" s="6"/>
      <c r="AE276" t="s">
        <v>41</v>
      </c>
      <c r="AU276" s="6"/>
      <c r="AV276" t="s">
        <v>0</v>
      </c>
      <c r="GB276">
        <v>0</v>
      </c>
    </row>
    <row r="277" spans="1:184">
      <c r="A277">
        <v>0</v>
      </c>
      <c r="O277" s="6"/>
      <c r="P277">
        <v>2</v>
      </c>
      <c r="AD277" s="6"/>
      <c r="AE277" t="s">
        <v>41</v>
      </c>
      <c r="AU277" s="6"/>
      <c r="AV277" t="s">
        <v>0</v>
      </c>
      <c r="GB277">
        <v>0</v>
      </c>
    </row>
    <row r="278" spans="1:184">
      <c r="A278">
        <v>0</v>
      </c>
      <c r="O278" s="6"/>
      <c r="P278">
        <v>2</v>
      </c>
      <c r="AD278" s="6"/>
      <c r="AE278" t="s">
        <v>41</v>
      </c>
      <c r="AU278" s="6"/>
      <c r="AV278" t="s">
        <v>0</v>
      </c>
      <c r="GB278">
        <v>0</v>
      </c>
    </row>
    <row r="279" spans="1:184">
      <c r="A279">
        <v>0</v>
      </c>
      <c r="O279" s="6"/>
      <c r="P279">
        <v>2</v>
      </c>
      <c r="AD279" s="6"/>
      <c r="AE279" t="s">
        <v>41</v>
      </c>
      <c r="AU279" s="6"/>
      <c r="AV279" t="s">
        <v>0</v>
      </c>
      <c r="GB279">
        <v>0</v>
      </c>
    </row>
    <row r="280" spans="1:184">
      <c r="A280">
        <v>0</v>
      </c>
      <c r="O280" s="6"/>
      <c r="P280">
        <v>2</v>
      </c>
      <c r="AD280" s="6"/>
      <c r="AE280" t="s">
        <v>41</v>
      </c>
      <c r="AU280" s="6"/>
      <c r="AV280" t="s">
        <v>0</v>
      </c>
      <c r="GB280">
        <v>0</v>
      </c>
    </row>
    <row r="281" spans="1:184">
      <c r="A281">
        <v>0</v>
      </c>
      <c r="O281" s="6"/>
      <c r="P281">
        <v>2</v>
      </c>
      <c r="AD281" s="6"/>
      <c r="AE281" t="s">
        <v>41</v>
      </c>
      <c r="AU281" s="6"/>
      <c r="AV281" t="s">
        <v>0</v>
      </c>
      <c r="GB281">
        <v>0</v>
      </c>
    </row>
    <row r="282" spans="1:184">
      <c r="A282">
        <v>0</v>
      </c>
      <c r="O282" s="6"/>
      <c r="P282">
        <v>2</v>
      </c>
      <c r="AD282" s="6"/>
      <c r="AE282" t="s">
        <v>41</v>
      </c>
      <c r="AU282" s="6"/>
      <c r="AV282" t="s">
        <v>0</v>
      </c>
      <c r="GB282">
        <v>0</v>
      </c>
    </row>
    <row r="283" spans="1:184">
      <c r="A283">
        <v>0</v>
      </c>
      <c r="O283" s="6"/>
      <c r="P283">
        <v>2</v>
      </c>
      <c r="AD283" s="6"/>
      <c r="AE283" t="s">
        <v>41</v>
      </c>
      <c r="AU283" s="6"/>
      <c r="AV283" t="s">
        <v>0</v>
      </c>
      <c r="GB283">
        <v>0</v>
      </c>
    </row>
    <row r="284" spans="1:184">
      <c r="A284">
        <v>0</v>
      </c>
      <c r="O284" s="6"/>
      <c r="P284">
        <v>2</v>
      </c>
      <c r="AD284" s="6"/>
      <c r="AE284" t="s">
        <v>41</v>
      </c>
      <c r="AU284" s="6"/>
      <c r="AV284" t="s">
        <v>0</v>
      </c>
      <c r="GB284">
        <v>0</v>
      </c>
    </row>
    <row r="285" spans="1:184">
      <c r="A285">
        <v>0</v>
      </c>
      <c r="O285" s="6"/>
      <c r="P285">
        <v>2</v>
      </c>
      <c r="AD285" s="6"/>
      <c r="AE285" t="s">
        <v>41</v>
      </c>
      <c r="AU285" s="6"/>
      <c r="AV285" t="s">
        <v>0</v>
      </c>
      <c r="GB285">
        <v>0</v>
      </c>
    </row>
    <row r="286" spans="1:184">
      <c r="A286">
        <v>0</v>
      </c>
      <c r="O286" s="6"/>
      <c r="P286">
        <v>2</v>
      </c>
      <c r="AD286" s="6"/>
      <c r="AE286" t="s">
        <v>41</v>
      </c>
      <c r="AU286" s="6"/>
      <c r="AV286" t="s">
        <v>0</v>
      </c>
      <c r="GB286">
        <v>0</v>
      </c>
    </row>
    <row r="287" spans="1:184">
      <c r="A287">
        <v>0</v>
      </c>
      <c r="O287" s="6"/>
      <c r="P287">
        <v>2</v>
      </c>
      <c r="AD287" s="6"/>
      <c r="AE287" t="s">
        <v>41</v>
      </c>
      <c r="AU287" s="6"/>
      <c r="AV287" t="s">
        <v>0</v>
      </c>
      <c r="GB287">
        <v>0</v>
      </c>
    </row>
    <row r="288" spans="1:184">
      <c r="A288">
        <v>0</v>
      </c>
      <c r="O288" s="6"/>
      <c r="P288">
        <v>2</v>
      </c>
      <c r="AD288" s="6"/>
      <c r="AE288" t="s">
        <v>41</v>
      </c>
      <c r="AU288" s="6"/>
      <c r="AV288" t="s">
        <v>0</v>
      </c>
      <c r="GB288">
        <v>0</v>
      </c>
    </row>
    <row r="289" spans="1:184">
      <c r="A289">
        <v>0</v>
      </c>
      <c r="O289" s="6"/>
      <c r="P289">
        <v>2</v>
      </c>
      <c r="AD289" s="6"/>
      <c r="AE289" t="s">
        <v>41</v>
      </c>
      <c r="AU289" s="6"/>
      <c r="AV289" t="s">
        <v>0</v>
      </c>
      <c r="GB289">
        <v>0</v>
      </c>
    </row>
    <row r="290" spans="1:184">
      <c r="A290">
        <v>0</v>
      </c>
      <c r="O290" s="6"/>
      <c r="P290">
        <v>2</v>
      </c>
      <c r="AD290" s="6"/>
      <c r="AE290" t="s">
        <v>41</v>
      </c>
      <c r="AU290" s="6"/>
      <c r="AV290" t="s">
        <v>0</v>
      </c>
      <c r="GB290">
        <v>0</v>
      </c>
    </row>
    <row r="291" spans="1:184">
      <c r="A291">
        <v>0</v>
      </c>
      <c r="O291" s="6"/>
      <c r="P291">
        <v>2</v>
      </c>
      <c r="AD291" s="6"/>
      <c r="AE291" t="s">
        <v>41</v>
      </c>
      <c r="AU291" s="6"/>
      <c r="AV291" t="s">
        <v>0</v>
      </c>
      <c r="GB291">
        <v>0</v>
      </c>
    </row>
    <row r="292" spans="1:184">
      <c r="A292">
        <v>0</v>
      </c>
      <c r="O292" s="6"/>
      <c r="P292">
        <v>2</v>
      </c>
      <c r="AD292" s="6"/>
      <c r="AE292" t="s">
        <v>41</v>
      </c>
      <c r="AU292" s="6"/>
      <c r="AV292" t="s">
        <v>0</v>
      </c>
      <c r="GB292">
        <v>0</v>
      </c>
    </row>
    <row r="293" spans="1:184">
      <c r="A293">
        <v>0</v>
      </c>
      <c r="O293" s="6"/>
      <c r="P293">
        <v>2</v>
      </c>
      <c r="AD293" s="6"/>
      <c r="AE293" t="s">
        <v>41</v>
      </c>
      <c r="AU293" s="6"/>
      <c r="AV293" t="s">
        <v>0</v>
      </c>
      <c r="GB293">
        <v>0</v>
      </c>
    </row>
    <row r="294" spans="1:184">
      <c r="A294">
        <v>0</v>
      </c>
      <c r="O294" s="6"/>
      <c r="P294">
        <v>2</v>
      </c>
      <c r="AD294" s="6"/>
      <c r="AE294" t="s">
        <v>41</v>
      </c>
      <c r="AU294" s="6"/>
      <c r="AV294" t="s">
        <v>0</v>
      </c>
      <c r="GB294">
        <v>0</v>
      </c>
    </row>
    <row r="295" spans="1:184">
      <c r="A295">
        <v>0</v>
      </c>
      <c r="O295" s="6"/>
      <c r="P295">
        <v>2</v>
      </c>
      <c r="AD295" s="6"/>
      <c r="AE295" t="s">
        <v>41</v>
      </c>
      <c r="AU295" s="6"/>
      <c r="AV295" t="s">
        <v>0</v>
      </c>
      <c r="GB295">
        <v>0</v>
      </c>
    </row>
    <row r="296" spans="1:184">
      <c r="A296">
        <v>0</v>
      </c>
      <c r="O296" s="6"/>
      <c r="P296">
        <v>2</v>
      </c>
      <c r="AD296" s="6"/>
      <c r="AE296" t="s">
        <v>41</v>
      </c>
      <c r="AU296" s="6"/>
      <c r="AV296" t="s">
        <v>0</v>
      </c>
      <c r="GB296">
        <v>0</v>
      </c>
    </row>
    <row r="297" spans="1:184">
      <c r="A297">
        <v>0</v>
      </c>
      <c r="O297" s="6"/>
      <c r="P297">
        <v>2</v>
      </c>
      <c r="AD297" s="6"/>
      <c r="AE297" t="s">
        <v>41</v>
      </c>
      <c r="AU297" s="6"/>
      <c r="AV297" t="s">
        <v>0</v>
      </c>
      <c r="GB297">
        <v>0</v>
      </c>
    </row>
    <row r="298" spans="1:184">
      <c r="A298">
        <v>0</v>
      </c>
      <c r="O298" s="6"/>
      <c r="P298">
        <v>2</v>
      </c>
      <c r="AD298" s="6"/>
      <c r="AE298" t="s">
        <v>41</v>
      </c>
      <c r="AU298" s="6"/>
      <c r="AV298" t="s">
        <v>0</v>
      </c>
      <c r="GB298">
        <v>0</v>
      </c>
    </row>
    <row r="299" spans="1:184">
      <c r="A299">
        <v>0</v>
      </c>
      <c r="O299" s="6"/>
      <c r="P299">
        <v>2</v>
      </c>
      <c r="AD299" s="6"/>
      <c r="AE299" t="s">
        <v>41</v>
      </c>
      <c r="AU299" s="6"/>
      <c r="AV299" t="s">
        <v>0</v>
      </c>
      <c r="GB299">
        <v>0</v>
      </c>
    </row>
    <row r="300" spans="1:184">
      <c r="A300">
        <v>0</v>
      </c>
      <c r="O300" s="6"/>
      <c r="P300">
        <v>2</v>
      </c>
      <c r="AD300" s="6"/>
      <c r="AE300" t="s">
        <v>41</v>
      </c>
      <c r="AU300" s="6"/>
      <c r="AV300" t="s">
        <v>0</v>
      </c>
      <c r="GB300">
        <v>0</v>
      </c>
    </row>
    <row r="301" spans="1:184">
      <c r="A301">
        <v>0</v>
      </c>
      <c r="O301" s="6"/>
      <c r="P301">
        <v>2</v>
      </c>
      <c r="AD301" s="6"/>
      <c r="AE301" t="s">
        <v>41</v>
      </c>
      <c r="AU301" s="6"/>
      <c r="AV301" t="s">
        <v>0</v>
      </c>
      <c r="GB301">
        <v>0</v>
      </c>
    </row>
    <row r="302" spans="1:184">
      <c r="A302">
        <v>0</v>
      </c>
      <c r="O302" s="6"/>
      <c r="P302">
        <v>2</v>
      </c>
      <c r="AD302" s="6"/>
      <c r="AE302" t="s">
        <v>41</v>
      </c>
      <c r="AU302" s="6"/>
      <c r="AV302" t="s">
        <v>0</v>
      </c>
      <c r="GB302">
        <v>0</v>
      </c>
    </row>
    <row r="303" spans="1:184">
      <c r="A303">
        <v>0</v>
      </c>
      <c r="O303" s="6"/>
      <c r="P303">
        <v>2</v>
      </c>
      <c r="AD303" s="6"/>
      <c r="AE303" t="s">
        <v>41</v>
      </c>
      <c r="AU303" s="6"/>
      <c r="AV303" t="s">
        <v>0</v>
      </c>
      <c r="GB303">
        <v>0</v>
      </c>
    </row>
    <row r="304" spans="1:184">
      <c r="A304">
        <v>0</v>
      </c>
      <c r="O304" s="6"/>
      <c r="P304">
        <v>2</v>
      </c>
      <c r="AD304" s="6"/>
      <c r="AE304" t="s">
        <v>41</v>
      </c>
      <c r="AU304" s="6"/>
      <c r="AV304" t="s">
        <v>0</v>
      </c>
      <c r="GB304">
        <v>0</v>
      </c>
    </row>
    <row r="305" spans="1:184">
      <c r="A305">
        <v>0</v>
      </c>
      <c r="O305" s="6"/>
      <c r="P305">
        <v>2</v>
      </c>
      <c r="AD305" s="6"/>
      <c r="AE305" t="s">
        <v>41</v>
      </c>
      <c r="AU305" s="6"/>
      <c r="AV305" t="s">
        <v>0</v>
      </c>
      <c r="GB305">
        <v>0</v>
      </c>
    </row>
    <row r="306" spans="1:184">
      <c r="A306">
        <v>0</v>
      </c>
      <c r="O306" s="6"/>
      <c r="P306">
        <v>2</v>
      </c>
      <c r="AD306" s="6"/>
      <c r="AE306" t="s">
        <v>41</v>
      </c>
      <c r="AU306" s="6"/>
      <c r="AV306" t="s">
        <v>0</v>
      </c>
      <c r="GB306">
        <v>0</v>
      </c>
    </row>
    <row r="307" spans="1:184">
      <c r="A307">
        <v>0</v>
      </c>
      <c r="O307" s="6"/>
      <c r="P307">
        <v>2</v>
      </c>
      <c r="AD307" s="6"/>
      <c r="AE307" t="s">
        <v>41</v>
      </c>
      <c r="AU307" s="6"/>
      <c r="AV307" t="s">
        <v>0</v>
      </c>
      <c r="GB307">
        <v>0</v>
      </c>
    </row>
    <row r="308" spans="1:184">
      <c r="A308">
        <v>0</v>
      </c>
      <c r="O308" s="6"/>
      <c r="P308">
        <v>2</v>
      </c>
      <c r="AD308" s="6"/>
      <c r="AE308" t="s">
        <v>41</v>
      </c>
      <c r="AU308" s="6"/>
      <c r="AV308" t="s">
        <v>0</v>
      </c>
      <c r="GB308">
        <v>0</v>
      </c>
    </row>
    <row r="309" spans="1:184">
      <c r="A309">
        <v>0</v>
      </c>
      <c r="O309" s="6"/>
      <c r="P309">
        <v>2</v>
      </c>
      <c r="AD309" s="6"/>
      <c r="AE309" t="s">
        <v>41</v>
      </c>
      <c r="AU309" s="6"/>
      <c r="AV309" t="s">
        <v>0</v>
      </c>
      <c r="GB309">
        <v>0</v>
      </c>
    </row>
    <row r="310" spans="1:184">
      <c r="A310">
        <v>0</v>
      </c>
      <c r="O310" s="6"/>
      <c r="P310">
        <v>2</v>
      </c>
      <c r="AD310" s="6"/>
      <c r="AE310" t="s">
        <v>41</v>
      </c>
      <c r="AU310" s="6"/>
      <c r="AV310" t="s">
        <v>0</v>
      </c>
      <c r="GB310">
        <v>0</v>
      </c>
    </row>
    <row r="311" spans="1:184">
      <c r="A311">
        <v>0</v>
      </c>
      <c r="O311" s="6"/>
      <c r="P311">
        <v>2</v>
      </c>
      <c r="AD311" s="6"/>
      <c r="AE311" t="s">
        <v>41</v>
      </c>
      <c r="AU311" s="6"/>
      <c r="AV311" t="s">
        <v>0</v>
      </c>
      <c r="GB311">
        <v>0</v>
      </c>
    </row>
    <row r="312" spans="1:184">
      <c r="A312">
        <v>0</v>
      </c>
      <c r="O312" s="6"/>
      <c r="P312">
        <v>2</v>
      </c>
      <c r="AD312" s="6"/>
      <c r="AE312" t="s">
        <v>41</v>
      </c>
      <c r="AU312" s="6"/>
      <c r="AV312" t="s">
        <v>0</v>
      </c>
      <c r="GB312">
        <v>0</v>
      </c>
    </row>
    <row r="313" spans="1:184">
      <c r="A313">
        <v>0</v>
      </c>
      <c r="O313" s="6"/>
      <c r="P313">
        <v>2</v>
      </c>
      <c r="AD313" s="6"/>
      <c r="AE313" t="s">
        <v>41</v>
      </c>
      <c r="AU313" s="6"/>
      <c r="AV313" t="s">
        <v>0</v>
      </c>
      <c r="GB313">
        <v>0</v>
      </c>
    </row>
    <row r="314" spans="1:184">
      <c r="A314">
        <v>0</v>
      </c>
      <c r="O314" s="6"/>
      <c r="P314">
        <v>2</v>
      </c>
      <c r="AD314" s="6"/>
      <c r="AE314" t="s">
        <v>42</v>
      </c>
      <c r="AU314" s="6"/>
      <c r="AV314" t="s">
        <v>0</v>
      </c>
      <c r="GB314">
        <v>0</v>
      </c>
    </row>
    <row r="315" spans="1:184">
      <c r="A315">
        <v>0</v>
      </c>
      <c r="O315" s="6"/>
      <c r="P315">
        <v>2</v>
      </c>
      <c r="AD315" s="6"/>
      <c r="AE315" t="s">
        <v>42</v>
      </c>
      <c r="AU315" s="6"/>
      <c r="AV315" t="s">
        <v>0</v>
      </c>
      <c r="GB315">
        <v>0</v>
      </c>
    </row>
    <row r="316" spans="1:184">
      <c r="A316">
        <v>0</v>
      </c>
      <c r="O316" s="6"/>
      <c r="P316">
        <v>2</v>
      </c>
      <c r="AD316" s="6"/>
      <c r="AE316" t="s">
        <v>42</v>
      </c>
      <c r="AU316" s="6"/>
      <c r="AV316" t="s">
        <v>0</v>
      </c>
      <c r="GB316">
        <v>0</v>
      </c>
    </row>
    <row r="317" spans="1:184">
      <c r="A317">
        <v>0</v>
      </c>
      <c r="O317" s="6"/>
      <c r="P317">
        <v>2</v>
      </c>
      <c r="AD317" s="6"/>
      <c r="AE317" t="s">
        <v>42</v>
      </c>
      <c r="AU317" s="6"/>
      <c r="AV317" t="s">
        <v>0</v>
      </c>
      <c r="GB317">
        <v>0</v>
      </c>
    </row>
    <row r="318" spans="1:184">
      <c r="A318">
        <v>0</v>
      </c>
      <c r="O318" s="6"/>
      <c r="P318">
        <v>2</v>
      </c>
      <c r="AD318" s="6"/>
      <c r="AE318" t="s">
        <v>42</v>
      </c>
      <c r="AU318" s="6"/>
      <c r="AV318" t="s">
        <v>0</v>
      </c>
      <c r="GB318">
        <v>0</v>
      </c>
    </row>
    <row r="319" spans="1:184">
      <c r="A319">
        <v>0</v>
      </c>
      <c r="O319" s="6"/>
      <c r="P319">
        <v>2</v>
      </c>
      <c r="AD319" s="6"/>
      <c r="AE319" t="s">
        <v>42</v>
      </c>
      <c r="AU319" s="6"/>
      <c r="AV319" t="s">
        <v>0</v>
      </c>
      <c r="GB319">
        <v>0</v>
      </c>
    </row>
    <row r="320" spans="1:184">
      <c r="A320">
        <v>0</v>
      </c>
      <c r="O320" s="6"/>
      <c r="P320">
        <v>2</v>
      </c>
      <c r="AD320" s="6"/>
      <c r="AE320" t="s">
        <v>42</v>
      </c>
      <c r="AU320" s="6"/>
      <c r="AV320" t="s">
        <v>0</v>
      </c>
      <c r="GB320">
        <v>0</v>
      </c>
    </row>
    <row r="321" spans="1:184">
      <c r="A321">
        <v>0</v>
      </c>
      <c r="O321" s="6"/>
      <c r="P321">
        <v>2</v>
      </c>
      <c r="AD321" s="6"/>
      <c r="AE321" t="s">
        <v>42</v>
      </c>
      <c r="AU321" s="6"/>
      <c r="AV321" t="s">
        <v>0</v>
      </c>
      <c r="GB321">
        <v>0</v>
      </c>
    </row>
    <row r="322" spans="1:184">
      <c r="A322">
        <v>0</v>
      </c>
      <c r="O322" s="6"/>
      <c r="P322">
        <v>2</v>
      </c>
      <c r="AD322" s="6"/>
      <c r="AE322" t="s">
        <v>42</v>
      </c>
      <c r="AU322" s="6"/>
      <c r="AV322" t="s">
        <v>0</v>
      </c>
      <c r="GB322">
        <v>0</v>
      </c>
    </row>
    <row r="323" spans="1:184">
      <c r="A323">
        <v>0</v>
      </c>
      <c r="O323" s="6"/>
      <c r="P323">
        <v>2</v>
      </c>
      <c r="AD323" s="6"/>
      <c r="AE323" t="s">
        <v>42</v>
      </c>
      <c r="AU323" s="6"/>
      <c r="AV323" t="s">
        <v>0</v>
      </c>
      <c r="GB323">
        <v>0</v>
      </c>
    </row>
    <row r="324" spans="1:184">
      <c r="A324">
        <v>0</v>
      </c>
      <c r="O324" s="6"/>
      <c r="P324">
        <v>2</v>
      </c>
      <c r="AD324" s="6"/>
      <c r="AE324" t="s">
        <v>42</v>
      </c>
      <c r="AU324" s="6"/>
      <c r="AV324" t="s">
        <v>0</v>
      </c>
      <c r="GB324">
        <v>0</v>
      </c>
    </row>
    <row r="325" spans="1:184">
      <c r="A325">
        <v>0</v>
      </c>
      <c r="O325" s="6"/>
      <c r="P325">
        <v>2</v>
      </c>
      <c r="AD325" s="6"/>
      <c r="AE325" t="s">
        <v>42</v>
      </c>
      <c r="AU325" s="6"/>
      <c r="AV325" t="s">
        <v>0</v>
      </c>
      <c r="GB325">
        <v>0</v>
      </c>
    </row>
    <row r="326" spans="1:184">
      <c r="A326">
        <v>0</v>
      </c>
      <c r="O326" s="6"/>
      <c r="P326">
        <v>2</v>
      </c>
      <c r="AD326" s="6"/>
      <c r="AE326" t="s">
        <v>42</v>
      </c>
      <c r="AU326" s="6"/>
      <c r="AV326" t="s">
        <v>0</v>
      </c>
      <c r="GB326">
        <v>0</v>
      </c>
    </row>
    <row r="327" spans="1:184">
      <c r="A327">
        <v>0</v>
      </c>
      <c r="O327" s="6"/>
      <c r="P327">
        <v>2</v>
      </c>
      <c r="AD327" s="6"/>
      <c r="AE327" t="s">
        <v>42</v>
      </c>
      <c r="AU327" s="6"/>
      <c r="AV327" t="s">
        <v>0</v>
      </c>
      <c r="GB327">
        <v>0</v>
      </c>
    </row>
    <row r="328" spans="1:184">
      <c r="A328">
        <v>0</v>
      </c>
      <c r="O328" s="6"/>
      <c r="P328">
        <v>2</v>
      </c>
      <c r="AD328" s="6"/>
      <c r="AE328" t="s">
        <v>42</v>
      </c>
      <c r="AU328" s="6"/>
      <c r="AV328" t="s">
        <v>0</v>
      </c>
      <c r="GB328">
        <v>0</v>
      </c>
    </row>
    <row r="329" spans="1:184">
      <c r="A329">
        <v>0</v>
      </c>
      <c r="O329" s="6"/>
      <c r="P329">
        <v>2</v>
      </c>
      <c r="AD329" s="6"/>
      <c r="AE329" t="s">
        <v>42</v>
      </c>
      <c r="AU329" s="6"/>
      <c r="AV329" t="s">
        <v>0</v>
      </c>
      <c r="GB329">
        <v>0</v>
      </c>
    </row>
    <row r="330" spans="1:184">
      <c r="A330">
        <v>0</v>
      </c>
      <c r="O330" s="6"/>
      <c r="P330">
        <v>2</v>
      </c>
      <c r="AD330" s="6"/>
      <c r="AE330" t="s">
        <v>42</v>
      </c>
      <c r="AU330" s="6"/>
      <c r="AV330" t="s">
        <v>0</v>
      </c>
      <c r="GB330">
        <v>0</v>
      </c>
    </row>
    <row r="331" spans="1:184">
      <c r="A331">
        <v>0</v>
      </c>
      <c r="O331" s="6"/>
      <c r="P331">
        <v>2</v>
      </c>
      <c r="AD331" s="6"/>
      <c r="AE331" t="s">
        <v>42</v>
      </c>
      <c r="AU331" s="6"/>
      <c r="AV331" t="s">
        <v>0</v>
      </c>
      <c r="GB331">
        <v>0</v>
      </c>
    </row>
    <row r="332" spans="1:184">
      <c r="A332">
        <v>0</v>
      </c>
      <c r="O332" s="6"/>
      <c r="P332">
        <v>2</v>
      </c>
      <c r="AD332" s="6"/>
      <c r="AE332" t="s">
        <v>42</v>
      </c>
      <c r="AU332" s="6"/>
      <c r="AV332" t="s">
        <v>0</v>
      </c>
      <c r="GB332">
        <v>0</v>
      </c>
    </row>
    <row r="333" spans="1:184">
      <c r="A333">
        <v>0</v>
      </c>
      <c r="O333" s="6"/>
      <c r="P333">
        <v>2</v>
      </c>
      <c r="AD333" s="6"/>
      <c r="AE333" t="s">
        <v>42</v>
      </c>
      <c r="AU333" s="6"/>
      <c r="AV333" t="s">
        <v>0</v>
      </c>
      <c r="GB333">
        <v>0</v>
      </c>
    </row>
    <row r="334" spans="1:184">
      <c r="A334">
        <v>0</v>
      </c>
      <c r="O334" s="6"/>
      <c r="P334">
        <v>2</v>
      </c>
      <c r="AD334" s="6"/>
      <c r="AE334" t="s">
        <v>42</v>
      </c>
      <c r="AU334" s="6"/>
      <c r="AV334" t="s">
        <v>0</v>
      </c>
      <c r="GB334">
        <v>0</v>
      </c>
    </row>
    <row r="335" spans="1:184">
      <c r="A335">
        <v>0</v>
      </c>
      <c r="O335" s="6"/>
      <c r="P335">
        <v>2</v>
      </c>
      <c r="AD335" s="6"/>
      <c r="AE335" t="s">
        <v>42</v>
      </c>
      <c r="AU335" s="6"/>
      <c r="AV335" t="s">
        <v>0</v>
      </c>
      <c r="GB335">
        <v>0</v>
      </c>
    </row>
    <row r="336" spans="1:184">
      <c r="A336">
        <v>0</v>
      </c>
      <c r="O336" s="6"/>
      <c r="P336">
        <v>2</v>
      </c>
      <c r="AD336" s="6"/>
      <c r="AE336" t="s">
        <v>42</v>
      </c>
      <c r="AU336" s="6"/>
      <c r="AV336" t="s">
        <v>0</v>
      </c>
      <c r="GB336">
        <v>0</v>
      </c>
    </row>
    <row r="337" spans="1:184">
      <c r="A337">
        <v>0</v>
      </c>
      <c r="O337" s="6"/>
      <c r="P337">
        <v>2</v>
      </c>
      <c r="AD337" s="6"/>
      <c r="AE337" t="s">
        <v>42</v>
      </c>
      <c r="AU337" s="6"/>
      <c r="AV337" t="s">
        <v>0</v>
      </c>
      <c r="GB337">
        <v>0</v>
      </c>
    </row>
    <row r="338" spans="1:184">
      <c r="A338">
        <v>0</v>
      </c>
      <c r="O338" s="6"/>
      <c r="P338">
        <v>2</v>
      </c>
      <c r="AD338" s="6"/>
      <c r="AE338" t="s">
        <v>42</v>
      </c>
      <c r="AU338" s="6"/>
      <c r="AV338" t="s">
        <v>0</v>
      </c>
      <c r="GB338">
        <v>0</v>
      </c>
    </row>
    <row r="339" spans="1:184">
      <c r="A339">
        <v>0</v>
      </c>
      <c r="O339" s="6"/>
      <c r="P339">
        <v>2</v>
      </c>
      <c r="AD339" s="6"/>
      <c r="AE339" t="s">
        <v>42</v>
      </c>
      <c r="AU339" s="6"/>
      <c r="AV339" t="s">
        <v>0</v>
      </c>
      <c r="GB339">
        <v>0</v>
      </c>
    </row>
    <row r="340" spans="1:184">
      <c r="A340">
        <v>0</v>
      </c>
      <c r="O340" s="6"/>
      <c r="P340">
        <v>2</v>
      </c>
      <c r="AD340" s="6"/>
      <c r="AE340" t="s">
        <v>42</v>
      </c>
      <c r="AU340" s="6"/>
      <c r="AV340" t="s">
        <v>0</v>
      </c>
      <c r="GB340">
        <v>0</v>
      </c>
    </row>
    <row r="341" spans="1:184">
      <c r="A341">
        <v>0</v>
      </c>
      <c r="O341" s="6"/>
      <c r="P341">
        <v>2</v>
      </c>
      <c r="AD341" s="6"/>
      <c r="AE341" t="s">
        <v>42</v>
      </c>
      <c r="AU341" s="6"/>
      <c r="AV341" t="s">
        <v>0</v>
      </c>
      <c r="GB341">
        <v>0</v>
      </c>
    </row>
    <row r="342" spans="1:184">
      <c r="A342">
        <v>0</v>
      </c>
      <c r="O342" s="6"/>
      <c r="P342">
        <v>2</v>
      </c>
      <c r="AD342" s="6"/>
      <c r="AE342" t="s">
        <v>42</v>
      </c>
      <c r="AU342" s="6"/>
      <c r="AV342" t="s">
        <v>0</v>
      </c>
      <c r="GB342">
        <v>0</v>
      </c>
    </row>
    <row r="343" spans="1:184">
      <c r="A343">
        <v>0</v>
      </c>
      <c r="O343" s="6"/>
      <c r="P343">
        <v>2</v>
      </c>
      <c r="AD343" s="6"/>
      <c r="AE343" t="s">
        <v>42</v>
      </c>
      <c r="AU343" s="6"/>
      <c r="AV343" t="s">
        <v>0</v>
      </c>
      <c r="GB343">
        <v>0</v>
      </c>
    </row>
    <row r="344" spans="1:184">
      <c r="A344">
        <v>0</v>
      </c>
      <c r="O344" s="6"/>
      <c r="P344">
        <v>2</v>
      </c>
      <c r="AD344" s="6"/>
      <c r="AE344" t="s">
        <v>42</v>
      </c>
      <c r="AU344" s="6"/>
      <c r="AV344" t="s">
        <v>0</v>
      </c>
      <c r="GB344">
        <v>0</v>
      </c>
    </row>
    <row r="345" spans="1:184">
      <c r="A345">
        <v>0</v>
      </c>
      <c r="O345" s="6"/>
      <c r="P345">
        <v>2</v>
      </c>
      <c r="AD345" s="6"/>
      <c r="AE345" t="s">
        <v>42</v>
      </c>
      <c r="AU345" s="6"/>
      <c r="AV345" t="s">
        <v>0</v>
      </c>
      <c r="GB345">
        <v>0</v>
      </c>
    </row>
    <row r="346" spans="1:184">
      <c r="A346">
        <v>0</v>
      </c>
      <c r="O346" s="6"/>
      <c r="P346">
        <v>2</v>
      </c>
      <c r="AD346" s="6"/>
      <c r="AE346" t="s">
        <v>42</v>
      </c>
      <c r="AU346" s="6"/>
      <c r="AV346" t="s">
        <v>0</v>
      </c>
      <c r="GB346">
        <v>0</v>
      </c>
    </row>
    <row r="347" spans="1:184">
      <c r="A347">
        <v>0</v>
      </c>
      <c r="O347" s="6"/>
      <c r="P347">
        <v>2</v>
      </c>
      <c r="AD347" s="6"/>
      <c r="AE347" t="s">
        <v>42</v>
      </c>
      <c r="AU347" s="6"/>
      <c r="AV347" t="s">
        <v>0</v>
      </c>
      <c r="GB347">
        <v>0</v>
      </c>
    </row>
    <row r="348" spans="1:184">
      <c r="A348">
        <v>0</v>
      </c>
      <c r="O348" s="6"/>
      <c r="P348">
        <v>2</v>
      </c>
      <c r="AD348" s="6"/>
      <c r="AE348" t="s">
        <v>42</v>
      </c>
      <c r="AU348" s="6"/>
      <c r="AV348" t="s">
        <v>0</v>
      </c>
      <c r="GB348">
        <v>0</v>
      </c>
    </row>
    <row r="349" spans="1:184">
      <c r="A349">
        <v>0</v>
      </c>
      <c r="O349" s="6"/>
      <c r="P349">
        <v>2</v>
      </c>
      <c r="AD349" s="6"/>
      <c r="AE349" t="s">
        <v>42</v>
      </c>
      <c r="AU349" s="6"/>
      <c r="AV349" t="s">
        <v>0</v>
      </c>
      <c r="GB349">
        <v>0</v>
      </c>
    </row>
    <row r="350" spans="1:184">
      <c r="A350">
        <v>0</v>
      </c>
      <c r="O350" s="6"/>
      <c r="P350">
        <v>2</v>
      </c>
      <c r="AD350" s="6"/>
      <c r="AE350" t="s">
        <v>42</v>
      </c>
      <c r="AU350" s="6"/>
      <c r="AV350" t="s">
        <v>0</v>
      </c>
      <c r="GB350">
        <v>0</v>
      </c>
    </row>
    <row r="351" spans="1:184">
      <c r="A351">
        <v>0</v>
      </c>
      <c r="O351" s="6"/>
      <c r="P351">
        <v>2</v>
      </c>
      <c r="AD351" s="6"/>
      <c r="AE351" t="s">
        <v>42</v>
      </c>
      <c r="AU351" s="6"/>
      <c r="AV351" t="s">
        <v>0</v>
      </c>
      <c r="GB351">
        <v>0</v>
      </c>
    </row>
    <row r="352" spans="1:184">
      <c r="A352">
        <v>0</v>
      </c>
      <c r="O352" s="6"/>
      <c r="P352">
        <v>2</v>
      </c>
      <c r="AD352" s="6"/>
      <c r="AE352" t="s">
        <v>42</v>
      </c>
      <c r="AU352" s="6"/>
      <c r="AV352" t="s">
        <v>0</v>
      </c>
      <c r="GB352">
        <v>0</v>
      </c>
    </row>
    <row r="353" spans="1:184">
      <c r="A353">
        <v>0</v>
      </c>
      <c r="O353" s="6"/>
      <c r="P353">
        <v>2</v>
      </c>
      <c r="AD353" s="6"/>
      <c r="AE353" t="s">
        <v>42</v>
      </c>
      <c r="AU353" s="6"/>
      <c r="AV353" t="s">
        <v>0</v>
      </c>
      <c r="GB353">
        <v>0</v>
      </c>
    </row>
    <row r="354" spans="1:184">
      <c r="A354">
        <v>0</v>
      </c>
      <c r="O354" s="6"/>
      <c r="P354">
        <v>2</v>
      </c>
      <c r="AD354" s="6"/>
      <c r="AE354" t="s">
        <v>42</v>
      </c>
      <c r="AU354" s="6"/>
      <c r="AV354" t="s">
        <v>0</v>
      </c>
      <c r="GB354">
        <v>0</v>
      </c>
    </row>
    <row r="355" spans="1:184">
      <c r="A355">
        <v>0</v>
      </c>
      <c r="O355" s="6"/>
      <c r="P355">
        <v>2</v>
      </c>
      <c r="AD355" s="6"/>
      <c r="AE355" t="s">
        <v>42</v>
      </c>
      <c r="AU355" s="6"/>
      <c r="AV355" t="s">
        <v>0</v>
      </c>
      <c r="GB355">
        <v>0</v>
      </c>
    </row>
    <row r="356" spans="1:184">
      <c r="A356">
        <v>0</v>
      </c>
      <c r="O356" s="6"/>
      <c r="P356">
        <v>2</v>
      </c>
      <c r="AD356" s="6"/>
      <c r="AE356" t="s">
        <v>42</v>
      </c>
      <c r="AU356" s="6"/>
      <c r="AV356" t="s">
        <v>0</v>
      </c>
      <c r="GB356">
        <v>0</v>
      </c>
    </row>
    <row r="357" spans="1:184">
      <c r="A357">
        <v>0</v>
      </c>
      <c r="O357" s="6"/>
      <c r="P357">
        <v>2</v>
      </c>
      <c r="AD357" s="6"/>
      <c r="AE357" t="s">
        <v>42</v>
      </c>
      <c r="AU357" s="6"/>
      <c r="AV357" t="s">
        <v>0</v>
      </c>
      <c r="GB357">
        <v>0</v>
      </c>
    </row>
    <row r="358" spans="1:184">
      <c r="A358">
        <v>0</v>
      </c>
      <c r="O358" s="6"/>
      <c r="P358">
        <v>2</v>
      </c>
      <c r="AD358" s="6"/>
      <c r="AE358" t="s">
        <v>42</v>
      </c>
      <c r="AU358" s="6"/>
      <c r="AV358" t="s">
        <v>0</v>
      </c>
      <c r="GB358">
        <v>0</v>
      </c>
    </row>
    <row r="359" spans="1:184">
      <c r="A359">
        <v>0</v>
      </c>
      <c r="O359" s="6"/>
      <c r="P359">
        <v>2</v>
      </c>
      <c r="AD359" s="6"/>
      <c r="AE359" t="s">
        <v>42</v>
      </c>
      <c r="AU359" s="6"/>
      <c r="AV359" t="s">
        <v>0</v>
      </c>
      <c r="GB359">
        <v>0</v>
      </c>
    </row>
    <row r="360" spans="1:184">
      <c r="A360">
        <v>0</v>
      </c>
      <c r="O360" s="6"/>
      <c r="P360">
        <v>2</v>
      </c>
      <c r="AD360" s="6"/>
      <c r="AE360" t="s">
        <v>42</v>
      </c>
      <c r="AU360" s="6"/>
      <c r="AV360" t="s">
        <v>0</v>
      </c>
      <c r="GB360">
        <v>0</v>
      </c>
    </row>
    <row r="361" spans="1:184">
      <c r="A361">
        <v>0</v>
      </c>
      <c r="O361" s="6"/>
      <c r="P361">
        <v>2</v>
      </c>
      <c r="AD361" s="6"/>
      <c r="AE361" t="s">
        <v>42</v>
      </c>
      <c r="AU361" s="6"/>
      <c r="AV361" t="s">
        <v>0</v>
      </c>
      <c r="GB361">
        <v>0</v>
      </c>
    </row>
    <row r="362" spans="1:184">
      <c r="A362">
        <v>0</v>
      </c>
      <c r="O362" s="6"/>
      <c r="P362">
        <v>2</v>
      </c>
      <c r="AD362" s="6"/>
      <c r="AE362" t="s">
        <v>42</v>
      </c>
      <c r="AU362" s="6"/>
      <c r="AV362" t="s">
        <v>0</v>
      </c>
      <c r="GB362">
        <v>0</v>
      </c>
    </row>
    <row r="363" spans="1:184">
      <c r="A363">
        <v>0</v>
      </c>
      <c r="O363" s="6"/>
      <c r="P363">
        <v>2</v>
      </c>
      <c r="AD363" s="6"/>
      <c r="AE363" t="s">
        <v>42</v>
      </c>
      <c r="AU363" s="6"/>
      <c r="AV363" t="s">
        <v>0</v>
      </c>
      <c r="GB363">
        <v>0</v>
      </c>
    </row>
    <row r="364" spans="1:184">
      <c r="A364">
        <v>0</v>
      </c>
      <c r="O364" s="6"/>
      <c r="P364">
        <v>2</v>
      </c>
      <c r="AD364" s="6"/>
      <c r="AE364" t="s">
        <v>42</v>
      </c>
      <c r="AU364" s="6"/>
      <c r="AV364" t="s">
        <v>0</v>
      </c>
      <c r="GB364">
        <v>0</v>
      </c>
    </row>
    <row r="365" spans="1:184">
      <c r="A365">
        <v>0</v>
      </c>
      <c r="O365" s="6"/>
      <c r="P365">
        <v>2</v>
      </c>
      <c r="AD365" s="6"/>
      <c r="AE365" t="s">
        <v>42</v>
      </c>
      <c r="AU365" s="6"/>
      <c r="AV365" t="s">
        <v>0</v>
      </c>
      <c r="GB365">
        <v>0</v>
      </c>
    </row>
    <row r="366" spans="1:184">
      <c r="A366">
        <v>0</v>
      </c>
      <c r="O366" s="6"/>
      <c r="P366">
        <v>2</v>
      </c>
      <c r="AD366" s="6"/>
      <c r="AE366" t="s">
        <v>42</v>
      </c>
      <c r="AU366" s="6"/>
      <c r="AV366" t="s">
        <v>0</v>
      </c>
      <c r="GB366">
        <v>0</v>
      </c>
    </row>
    <row r="367" spans="1:184">
      <c r="A367">
        <v>0</v>
      </c>
      <c r="O367" s="6"/>
      <c r="P367">
        <v>2</v>
      </c>
      <c r="AD367" s="6"/>
      <c r="AE367" t="s">
        <v>42</v>
      </c>
      <c r="AU367" s="6"/>
      <c r="AV367" t="s">
        <v>0</v>
      </c>
      <c r="GB367">
        <v>0</v>
      </c>
    </row>
    <row r="368" spans="1:184">
      <c r="A368">
        <v>0</v>
      </c>
      <c r="O368" s="6"/>
      <c r="P368">
        <v>2</v>
      </c>
      <c r="AD368" s="6"/>
      <c r="AE368" t="s">
        <v>42</v>
      </c>
      <c r="AU368" s="6"/>
      <c r="AV368" t="s">
        <v>0</v>
      </c>
      <c r="GB368">
        <v>0</v>
      </c>
    </row>
    <row r="369" spans="1:184">
      <c r="A369">
        <v>0</v>
      </c>
      <c r="O369" s="6"/>
      <c r="P369">
        <v>2</v>
      </c>
      <c r="AD369" s="6"/>
      <c r="AE369" t="s">
        <v>42</v>
      </c>
      <c r="AU369" s="6"/>
      <c r="AV369" t="s">
        <v>0</v>
      </c>
      <c r="GB369">
        <v>0</v>
      </c>
    </row>
    <row r="370" spans="1:184">
      <c r="A370">
        <v>0</v>
      </c>
      <c r="O370" s="6"/>
      <c r="P370">
        <v>2</v>
      </c>
      <c r="AD370" s="6"/>
      <c r="AE370" t="s">
        <v>42</v>
      </c>
      <c r="AU370" s="6"/>
      <c r="AV370" t="s">
        <v>0</v>
      </c>
      <c r="GB370">
        <v>0</v>
      </c>
    </row>
    <row r="371" spans="1:184">
      <c r="A371">
        <v>0</v>
      </c>
      <c r="O371" s="6"/>
      <c r="P371">
        <v>2</v>
      </c>
      <c r="AD371" s="6"/>
      <c r="AE371" t="s">
        <v>42</v>
      </c>
      <c r="AU371" s="6"/>
      <c r="AV371" t="s">
        <v>0</v>
      </c>
      <c r="GB371">
        <v>0</v>
      </c>
    </row>
    <row r="372" spans="1:184">
      <c r="A372">
        <v>0</v>
      </c>
      <c r="O372" s="6"/>
      <c r="P372">
        <v>2</v>
      </c>
      <c r="AD372" s="6"/>
      <c r="AE372" t="s">
        <v>42</v>
      </c>
      <c r="AU372" s="6"/>
      <c r="AV372" t="s">
        <v>0</v>
      </c>
      <c r="GB372">
        <v>0</v>
      </c>
    </row>
    <row r="373" spans="1:184">
      <c r="A373">
        <v>0</v>
      </c>
      <c r="O373" s="6"/>
      <c r="P373">
        <v>2</v>
      </c>
      <c r="AD373" s="6"/>
      <c r="AE373" t="s">
        <v>42</v>
      </c>
      <c r="AU373" s="6"/>
      <c r="AV373" t="s">
        <v>0</v>
      </c>
      <c r="GB373">
        <v>0</v>
      </c>
    </row>
    <row r="374" spans="1:184">
      <c r="A374">
        <v>0</v>
      </c>
      <c r="O374" s="6"/>
      <c r="P374">
        <v>2</v>
      </c>
      <c r="AD374" s="6"/>
      <c r="AE374" t="s">
        <v>42</v>
      </c>
      <c r="AU374" s="6"/>
      <c r="AV374" t="s">
        <v>0</v>
      </c>
      <c r="GB374">
        <v>0</v>
      </c>
    </row>
    <row r="375" spans="1:184">
      <c r="A375">
        <v>0</v>
      </c>
      <c r="O375" s="6"/>
      <c r="P375">
        <v>2</v>
      </c>
      <c r="AD375" s="6"/>
      <c r="AE375" t="s">
        <v>42</v>
      </c>
      <c r="AU375" s="6"/>
      <c r="AV375" t="s">
        <v>0</v>
      </c>
      <c r="GB375">
        <v>0</v>
      </c>
    </row>
    <row r="376" spans="1:184">
      <c r="A376">
        <v>0</v>
      </c>
      <c r="O376" s="6"/>
      <c r="P376">
        <v>2</v>
      </c>
      <c r="AD376" s="6"/>
      <c r="AE376" t="s">
        <v>42</v>
      </c>
      <c r="AU376" s="6"/>
      <c r="AV376" t="s">
        <v>0</v>
      </c>
      <c r="GB376">
        <v>0</v>
      </c>
    </row>
    <row r="377" spans="1:184">
      <c r="A377">
        <v>0</v>
      </c>
      <c r="O377" s="6"/>
      <c r="P377">
        <v>2</v>
      </c>
      <c r="AD377" s="6"/>
      <c r="AE377" t="s">
        <v>42</v>
      </c>
      <c r="AU377" s="6"/>
      <c r="AV377" t="s">
        <v>0</v>
      </c>
      <c r="GB377">
        <v>0</v>
      </c>
    </row>
    <row r="378" spans="1:184">
      <c r="A378">
        <v>0</v>
      </c>
      <c r="O378" s="6"/>
      <c r="P378">
        <v>2</v>
      </c>
      <c r="AD378" s="6"/>
      <c r="AE378" t="s">
        <v>42</v>
      </c>
      <c r="AU378" s="6"/>
      <c r="AV378" t="s">
        <v>0</v>
      </c>
      <c r="GB378">
        <v>0</v>
      </c>
    </row>
    <row r="379" spans="1:184">
      <c r="A379">
        <v>0</v>
      </c>
      <c r="O379" s="6"/>
      <c r="P379">
        <v>2</v>
      </c>
      <c r="AD379" s="6"/>
      <c r="AE379" t="s">
        <v>42</v>
      </c>
      <c r="AU379" s="6"/>
      <c r="AV379" t="s">
        <v>0</v>
      </c>
      <c r="GB379">
        <v>0</v>
      </c>
    </row>
    <row r="380" spans="1:184">
      <c r="A380">
        <v>0</v>
      </c>
      <c r="O380" s="6"/>
      <c r="P380">
        <v>2</v>
      </c>
      <c r="AD380" s="6"/>
      <c r="AE380" t="s">
        <v>42</v>
      </c>
      <c r="AU380" s="6"/>
      <c r="AV380" t="s">
        <v>0</v>
      </c>
      <c r="GB380">
        <v>0</v>
      </c>
    </row>
    <row r="381" spans="1:184">
      <c r="A381">
        <v>0</v>
      </c>
      <c r="O381" s="6"/>
      <c r="P381">
        <v>2</v>
      </c>
      <c r="AD381" s="6"/>
      <c r="AE381" t="s">
        <v>42</v>
      </c>
      <c r="AU381" s="6"/>
      <c r="AV381" t="s">
        <v>0</v>
      </c>
      <c r="GB381">
        <v>0</v>
      </c>
    </row>
    <row r="382" spans="1:184">
      <c r="A382">
        <v>0</v>
      </c>
      <c r="O382" s="6"/>
      <c r="P382">
        <v>2</v>
      </c>
      <c r="AD382" s="6"/>
      <c r="AE382" t="s">
        <v>42</v>
      </c>
      <c r="AU382" s="6"/>
      <c r="AV382" t="s">
        <v>0</v>
      </c>
      <c r="GB382">
        <v>0</v>
      </c>
    </row>
    <row r="383" spans="1:184">
      <c r="A383">
        <v>0</v>
      </c>
      <c r="O383" s="6"/>
      <c r="P383">
        <v>2</v>
      </c>
      <c r="AD383" s="6"/>
      <c r="AE383" t="s">
        <v>42</v>
      </c>
      <c r="AU383" s="6"/>
      <c r="AV383" t="s">
        <v>0</v>
      </c>
      <c r="GB383">
        <v>0</v>
      </c>
    </row>
    <row r="384" spans="1:184">
      <c r="A384">
        <v>0</v>
      </c>
      <c r="O384" s="6"/>
      <c r="P384">
        <v>2</v>
      </c>
      <c r="AD384" s="6"/>
      <c r="AE384" t="s">
        <v>42</v>
      </c>
      <c r="AU384" s="6"/>
      <c r="AV384" t="s">
        <v>0</v>
      </c>
      <c r="GB384">
        <v>0</v>
      </c>
    </row>
    <row r="385" spans="1:184">
      <c r="A385">
        <v>0</v>
      </c>
      <c r="O385" s="6"/>
      <c r="P385">
        <v>2</v>
      </c>
      <c r="AD385" s="6"/>
      <c r="AE385" t="s">
        <v>42</v>
      </c>
      <c r="AU385" s="6"/>
      <c r="AV385" t="s">
        <v>0</v>
      </c>
      <c r="GB385">
        <v>0</v>
      </c>
    </row>
    <row r="386" spans="1:184">
      <c r="A386">
        <v>0</v>
      </c>
      <c r="O386" s="6"/>
      <c r="P386">
        <v>2</v>
      </c>
      <c r="AD386" s="6"/>
      <c r="AE386" t="s">
        <v>42</v>
      </c>
      <c r="AU386" s="6"/>
      <c r="AV386" t="s">
        <v>0</v>
      </c>
      <c r="GB386">
        <v>0</v>
      </c>
    </row>
    <row r="387" spans="1:184">
      <c r="A387">
        <v>0</v>
      </c>
      <c r="O387" s="6"/>
      <c r="P387">
        <v>2</v>
      </c>
      <c r="AD387" s="6"/>
      <c r="AE387" t="s">
        <v>42</v>
      </c>
      <c r="AU387" s="6"/>
      <c r="AV387" t="s">
        <v>0</v>
      </c>
      <c r="GB387">
        <v>0</v>
      </c>
    </row>
    <row r="388" spans="1:184">
      <c r="A388">
        <v>0</v>
      </c>
      <c r="O388" s="6"/>
      <c r="P388">
        <v>2</v>
      </c>
      <c r="AD388" s="6"/>
      <c r="AE388" t="s">
        <v>42</v>
      </c>
      <c r="AU388" s="6"/>
      <c r="AV388" t="s">
        <v>0</v>
      </c>
      <c r="GB388">
        <v>0</v>
      </c>
    </row>
    <row r="389" spans="1:184">
      <c r="A389">
        <v>0</v>
      </c>
      <c r="O389" s="6"/>
      <c r="P389">
        <v>2</v>
      </c>
      <c r="AD389" s="6"/>
      <c r="AE389" t="s">
        <v>42</v>
      </c>
      <c r="AU389" s="6"/>
      <c r="AV389" t="s">
        <v>0</v>
      </c>
      <c r="GB389">
        <v>0</v>
      </c>
    </row>
    <row r="390" spans="1:184">
      <c r="A390">
        <v>0</v>
      </c>
      <c r="O390" s="6"/>
      <c r="P390">
        <v>2</v>
      </c>
      <c r="AD390" s="6"/>
      <c r="AE390" t="s">
        <v>42</v>
      </c>
      <c r="AU390" s="6"/>
      <c r="AV390" t="s">
        <v>0</v>
      </c>
      <c r="GB390">
        <v>0</v>
      </c>
    </row>
    <row r="391" spans="1:184">
      <c r="A391">
        <v>0</v>
      </c>
      <c r="O391" s="6"/>
      <c r="P391">
        <v>2</v>
      </c>
      <c r="AD391" s="6"/>
      <c r="AE391" t="s">
        <v>42</v>
      </c>
      <c r="AU391" s="6"/>
      <c r="AV391" t="s">
        <v>0</v>
      </c>
      <c r="GB391">
        <v>0</v>
      </c>
    </row>
    <row r="392" spans="1:184">
      <c r="A392">
        <v>0</v>
      </c>
      <c r="O392" s="6"/>
      <c r="P392">
        <v>2</v>
      </c>
      <c r="AD392" s="6"/>
      <c r="AE392" t="s">
        <v>42</v>
      </c>
      <c r="AU392" s="6"/>
      <c r="AV392" t="s">
        <v>0</v>
      </c>
      <c r="GB392">
        <v>0</v>
      </c>
    </row>
    <row r="393" spans="1:184">
      <c r="A393">
        <v>0</v>
      </c>
      <c r="O393" s="6"/>
      <c r="P393">
        <v>2</v>
      </c>
      <c r="AD393" s="6"/>
      <c r="AE393" t="s">
        <v>42</v>
      </c>
      <c r="AU393" s="6"/>
      <c r="AV393" t="s">
        <v>0</v>
      </c>
      <c r="GB393">
        <v>0</v>
      </c>
    </row>
    <row r="394" spans="1:184">
      <c r="A394">
        <v>0</v>
      </c>
      <c r="O394" s="6"/>
      <c r="P394">
        <v>2</v>
      </c>
      <c r="AD394" s="6"/>
      <c r="AE394" t="s">
        <v>42</v>
      </c>
      <c r="AU394" s="6"/>
      <c r="AV394" t="s">
        <v>0</v>
      </c>
      <c r="GB394">
        <v>0</v>
      </c>
    </row>
    <row r="395" spans="1:184">
      <c r="A395">
        <v>0</v>
      </c>
      <c r="O395" s="6"/>
      <c r="P395">
        <v>2</v>
      </c>
      <c r="AD395" s="6"/>
      <c r="AE395" t="s">
        <v>42</v>
      </c>
      <c r="AU395" s="6"/>
      <c r="AV395" t="s">
        <v>0</v>
      </c>
      <c r="GB395">
        <v>0</v>
      </c>
    </row>
    <row r="396" spans="1:184">
      <c r="A396">
        <v>0</v>
      </c>
      <c r="O396" s="6"/>
      <c r="P396">
        <v>2</v>
      </c>
      <c r="AD396" s="6"/>
      <c r="AE396" t="s">
        <v>42</v>
      </c>
      <c r="AU396" s="6"/>
      <c r="AV396" t="s">
        <v>0</v>
      </c>
      <c r="GB396">
        <v>0</v>
      </c>
    </row>
    <row r="397" spans="1:184">
      <c r="A397">
        <v>0</v>
      </c>
      <c r="O397" s="6"/>
      <c r="P397">
        <v>2</v>
      </c>
      <c r="AD397" s="6"/>
      <c r="AE397" t="s">
        <v>42</v>
      </c>
      <c r="AU397" s="6"/>
      <c r="AV397" t="s">
        <v>0</v>
      </c>
      <c r="GB397">
        <v>0</v>
      </c>
    </row>
    <row r="398" spans="1:184">
      <c r="A398">
        <v>0</v>
      </c>
      <c r="O398" s="6"/>
      <c r="P398">
        <v>2</v>
      </c>
      <c r="AD398" s="6"/>
      <c r="AE398" t="s">
        <v>42</v>
      </c>
      <c r="AU398" s="6"/>
      <c r="AV398" t="s">
        <v>0</v>
      </c>
      <c r="GB398">
        <v>0</v>
      </c>
    </row>
    <row r="399" spans="1:184">
      <c r="A399">
        <v>0</v>
      </c>
      <c r="O399" s="6"/>
      <c r="P399">
        <v>2</v>
      </c>
      <c r="AD399" s="6"/>
      <c r="AE399" t="s">
        <v>42</v>
      </c>
      <c r="AU399" s="6"/>
      <c r="AV399" t="s">
        <v>0</v>
      </c>
      <c r="GB399">
        <v>0</v>
      </c>
    </row>
    <row r="400" spans="1:184">
      <c r="A400">
        <v>0</v>
      </c>
      <c r="O400" s="6"/>
      <c r="P400">
        <v>3</v>
      </c>
      <c r="AD400" s="6"/>
      <c r="AE400" t="s">
        <v>42</v>
      </c>
      <c r="AU400" s="6"/>
      <c r="AV400" t="s">
        <v>0</v>
      </c>
      <c r="GB400">
        <v>0</v>
      </c>
    </row>
    <row r="401" spans="1:184">
      <c r="A401">
        <v>0</v>
      </c>
      <c r="O401" s="6"/>
      <c r="P401">
        <v>3</v>
      </c>
      <c r="AD401" s="6"/>
      <c r="AE401" t="s">
        <v>42</v>
      </c>
      <c r="AU401" s="6"/>
      <c r="AV401" t="s">
        <v>0</v>
      </c>
      <c r="GB401">
        <v>0</v>
      </c>
    </row>
    <row r="402" spans="1:184">
      <c r="A402">
        <v>0</v>
      </c>
      <c r="O402" s="6"/>
      <c r="P402">
        <v>3</v>
      </c>
      <c r="AD402" s="6"/>
      <c r="AE402" t="s">
        <v>42</v>
      </c>
      <c r="AU402" s="6"/>
      <c r="AV402" t="s">
        <v>0</v>
      </c>
      <c r="GB402">
        <v>0</v>
      </c>
    </row>
    <row r="403" spans="1:184">
      <c r="A403">
        <v>0</v>
      </c>
      <c r="O403" s="6"/>
      <c r="P403">
        <v>3</v>
      </c>
      <c r="AD403" s="6"/>
      <c r="AE403" t="s">
        <v>42</v>
      </c>
      <c r="AU403" s="6"/>
      <c r="AV403" t="s">
        <v>0</v>
      </c>
      <c r="GB403">
        <v>0</v>
      </c>
    </row>
    <row r="404" spans="1:184">
      <c r="A404">
        <v>0</v>
      </c>
      <c r="O404" s="6"/>
      <c r="P404">
        <v>3</v>
      </c>
      <c r="AD404" s="6"/>
      <c r="AE404" t="s">
        <v>42</v>
      </c>
      <c r="AU404" s="6"/>
      <c r="AV404" t="s">
        <v>0</v>
      </c>
      <c r="GB404">
        <v>0</v>
      </c>
    </row>
    <row r="405" spans="1:184">
      <c r="A405">
        <v>0</v>
      </c>
      <c r="O405" s="6"/>
      <c r="P405">
        <v>3</v>
      </c>
      <c r="AD405" s="6"/>
      <c r="AE405" t="s">
        <v>42</v>
      </c>
      <c r="AU405" s="6"/>
      <c r="AV405" t="s">
        <v>0</v>
      </c>
      <c r="GB405">
        <v>0</v>
      </c>
    </row>
    <row r="406" spans="1:184">
      <c r="A406">
        <v>0</v>
      </c>
      <c r="O406" s="6"/>
      <c r="P406">
        <v>3</v>
      </c>
      <c r="AD406" s="6"/>
      <c r="AE406" t="s">
        <v>42</v>
      </c>
      <c r="AU406" s="6"/>
      <c r="AV406" t="s">
        <v>0</v>
      </c>
      <c r="GB406">
        <v>0</v>
      </c>
    </row>
    <row r="407" spans="1:184">
      <c r="A407">
        <v>0</v>
      </c>
      <c r="O407" s="6"/>
      <c r="P407">
        <v>3</v>
      </c>
      <c r="AD407" s="6"/>
      <c r="AE407" t="s">
        <v>42</v>
      </c>
      <c r="AU407" s="6"/>
      <c r="AV407" t="s">
        <v>0</v>
      </c>
      <c r="GB407">
        <v>0</v>
      </c>
    </row>
    <row r="408" spans="1:184">
      <c r="A408">
        <v>0</v>
      </c>
      <c r="O408" s="6"/>
      <c r="P408">
        <v>3</v>
      </c>
      <c r="AD408" s="6"/>
      <c r="AE408" t="s">
        <v>42</v>
      </c>
      <c r="AU408" s="6"/>
      <c r="AV408" t="s">
        <v>0</v>
      </c>
      <c r="GB408">
        <v>0</v>
      </c>
    </row>
    <row r="409" spans="1:184">
      <c r="A409">
        <v>0</v>
      </c>
      <c r="O409" s="6"/>
      <c r="P409">
        <v>3</v>
      </c>
      <c r="AD409" s="6"/>
      <c r="AE409" t="s">
        <v>42</v>
      </c>
      <c r="AU409" s="6"/>
      <c r="AV409" t="s">
        <v>0</v>
      </c>
      <c r="GB409">
        <v>0</v>
      </c>
    </row>
    <row r="410" spans="1:184">
      <c r="A410">
        <v>0</v>
      </c>
      <c r="O410" s="6"/>
      <c r="P410">
        <v>3</v>
      </c>
      <c r="AD410" s="6"/>
      <c r="AE410" t="s">
        <v>42</v>
      </c>
      <c r="AU410" s="6"/>
      <c r="AV410" t="s">
        <v>0</v>
      </c>
      <c r="GB410">
        <v>0</v>
      </c>
    </row>
    <row r="411" spans="1:184">
      <c r="A411">
        <v>0</v>
      </c>
      <c r="O411" s="6"/>
      <c r="P411">
        <v>3</v>
      </c>
      <c r="AD411" s="6"/>
      <c r="AE411" t="s">
        <v>42</v>
      </c>
      <c r="AU411" s="6"/>
      <c r="AV411" t="s">
        <v>0</v>
      </c>
      <c r="GB411">
        <v>0</v>
      </c>
    </row>
    <row r="412" spans="1:184">
      <c r="A412">
        <v>0</v>
      </c>
      <c r="O412" s="6"/>
      <c r="P412">
        <v>3</v>
      </c>
      <c r="AD412" s="6"/>
      <c r="AE412" t="s">
        <v>42</v>
      </c>
      <c r="AU412" s="6"/>
      <c r="AV412" t="s">
        <v>0</v>
      </c>
      <c r="GB412">
        <v>0</v>
      </c>
    </row>
    <row r="413" spans="1:184">
      <c r="A413">
        <v>0</v>
      </c>
      <c r="O413" s="6"/>
      <c r="P413">
        <v>3</v>
      </c>
      <c r="AD413" s="6"/>
      <c r="AE413" t="s">
        <v>42</v>
      </c>
      <c r="AU413" s="6"/>
      <c r="AV413" t="s">
        <v>0</v>
      </c>
      <c r="GB413">
        <v>0</v>
      </c>
    </row>
    <row r="414" spans="1:184">
      <c r="A414">
        <v>0</v>
      </c>
      <c r="O414" s="6"/>
      <c r="P414">
        <v>3</v>
      </c>
      <c r="AD414" s="6"/>
      <c r="AE414" t="s">
        <v>42</v>
      </c>
      <c r="AU414" s="6"/>
      <c r="AV414" t="s">
        <v>0</v>
      </c>
      <c r="GB414">
        <v>0</v>
      </c>
    </row>
    <row r="415" spans="1:184">
      <c r="A415">
        <v>0</v>
      </c>
      <c r="O415" s="6"/>
      <c r="P415">
        <v>3</v>
      </c>
      <c r="AD415" s="6"/>
      <c r="AE415" t="s">
        <v>42</v>
      </c>
      <c r="AU415" s="6"/>
      <c r="AV415" t="s">
        <v>0</v>
      </c>
      <c r="GB415">
        <v>0</v>
      </c>
    </row>
    <row r="416" spans="1:184">
      <c r="A416">
        <v>0</v>
      </c>
      <c r="O416" s="6"/>
      <c r="P416">
        <v>3</v>
      </c>
      <c r="AD416" s="6"/>
      <c r="AE416" t="s">
        <v>42</v>
      </c>
      <c r="AU416" s="6"/>
      <c r="AV416" t="s">
        <v>0</v>
      </c>
      <c r="GB416">
        <v>0</v>
      </c>
    </row>
    <row r="417" spans="1:184">
      <c r="A417">
        <v>0</v>
      </c>
      <c r="O417" s="6"/>
      <c r="P417">
        <v>3</v>
      </c>
      <c r="AD417" s="6"/>
      <c r="AE417" t="s">
        <v>42</v>
      </c>
      <c r="AU417" s="6"/>
      <c r="AV417" t="s">
        <v>0</v>
      </c>
      <c r="GB417">
        <v>0</v>
      </c>
    </row>
    <row r="418" spans="1:184">
      <c r="A418">
        <v>0</v>
      </c>
      <c r="O418" s="6"/>
      <c r="P418">
        <v>3</v>
      </c>
      <c r="AD418" s="6"/>
      <c r="AE418" t="s">
        <v>42</v>
      </c>
      <c r="AU418" s="6"/>
      <c r="AV418" t="s">
        <v>0</v>
      </c>
      <c r="GB418">
        <v>0</v>
      </c>
    </row>
    <row r="419" spans="1:184">
      <c r="A419">
        <v>0</v>
      </c>
      <c r="O419" s="6"/>
      <c r="P419">
        <v>3</v>
      </c>
      <c r="AD419" s="6"/>
      <c r="AE419" t="s">
        <v>42</v>
      </c>
      <c r="AU419" s="6"/>
      <c r="AV419" t="s">
        <v>0</v>
      </c>
      <c r="GB419">
        <v>0</v>
      </c>
    </row>
    <row r="420" spans="1:184">
      <c r="A420">
        <v>0</v>
      </c>
      <c r="O420" s="6"/>
      <c r="P420">
        <v>3</v>
      </c>
      <c r="AD420" s="6"/>
      <c r="AE420" t="s">
        <v>42</v>
      </c>
      <c r="AU420" s="6"/>
      <c r="AV420" t="s">
        <v>0</v>
      </c>
      <c r="GB420">
        <v>0</v>
      </c>
    </row>
    <row r="421" spans="1:184">
      <c r="A421">
        <v>0</v>
      </c>
      <c r="O421" s="6"/>
      <c r="P421">
        <v>3</v>
      </c>
      <c r="AD421" s="6"/>
      <c r="AE421" t="s">
        <v>42</v>
      </c>
      <c r="AU421" s="6"/>
      <c r="AV421" t="s">
        <v>0</v>
      </c>
      <c r="GB421">
        <v>0</v>
      </c>
    </row>
    <row r="422" spans="1:184">
      <c r="A422">
        <v>0</v>
      </c>
      <c r="O422" s="6"/>
      <c r="P422">
        <v>3</v>
      </c>
      <c r="AD422" s="6"/>
      <c r="AE422" t="s">
        <v>42</v>
      </c>
      <c r="AU422" s="6"/>
      <c r="AV422" t="s">
        <v>0</v>
      </c>
      <c r="GB422">
        <v>0</v>
      </c>
    </row>
    <row r="423" spans="1:184">
      <c r="A423">
        <v>0</v>
      </c>
      <c r="O423" s="6"/>
      <c r="P423">
        <v>3</v>
      </c>
      <c r="AD423" s="6"/>
      <c r="AE423" t="s">
        <v>42</v>
      </c>
      <c r="AU423" s="6"/>
      <c r="AV423" t="s">
        <v>0</v>
      </c>
      <c r="GB423">
        <v>0</v>
      </c>
    </row>
    <row r="424" spans="1:184">
      <c r="A424">
        <v>0</v>
      </c>
      <c r="O424" s="6"/>
      <c r="P424">
        <v>3</v>
      </c>
      <c r="AD424" s="6"/>
      <c r="AE424" t="s">
        <v>42</v>
      </c>
      <c r="AU424" s="6"/>
      <c r="AV424" t="s">
        <v>0</v>
      </c>
      <c r="GB424">
        <v>0</v>
      </c>
    </row>
    <row r="425" spans="1:184">
      <c r="A425">
        <v>0</v>
      </c>
      <c r="O425" s="6"/>
      <c r="P425">
        <v>3</v>
      </c>
      <c r="AD425" s="6"/>
      <c r="AE425" t="s">
        <v>42</v>
      </c>
      <c r="AU425" s="6"/>
      <c r="AV425" t="s">
        <v>0</v>
      </c>
      <c r="GB425">
        <v>0</v>
      </c>
    </row>
    <row r="426" spans="1:184">
      <c r="A426">
        <v>0</v>
      </c>
      <c r="O426" s="6"/>
      <c r="P426">
        <v>3</v>
      </c>
      <c r="AD426" s="6"/>
      <c r="AE426" t="s">
        <v>42</v>
      </c>
      <c r="AU426" s="6"/>
      <c r="AV426" t="s">
        <v>0</v>
      </c>
      <c r="GB426">
        <v>0</v>
      </c>
    </row>
    <row r="427" spans="1:184">
      <c r="A427">
        <v>0</v>
      </c>
      <c r="O427" s="6"/>
      <c r="P427">
        <v>3</v>
      </c>
      <c r="AD427" s="6"/>
      <c r="AE427" t="s">
        <v>42</v>
      </c>
      <c r="AU427" s="6"/>
      <c r="AV427" t="s">
        <v>0</v>
      </c>
      <c r="GB427">
        <v>0</v>
      </c>
    </row>
    <row r="428" spans="1:184">
      <c r="A428">
        <v>0</v>
      </c>
      <c r="O428" s="6"/>
      <c r="P428">
        <v>3</v>
      </c>
      <c r="AD428" s="6"/>
      <c r="AE428" t="s">
        <v>42</v>
      </c>
      <c r="AU428" s="6"/>
      <c r="AV428" t="s">
        <v>0</v>
      </c>
      <c r="GB428">
        <v>0</v>
      </c>
    </row>
    <row r="429" spans="1:184">
      <c r="A429">
        <v>0</v>
      </c>
      <c r="O429" s="6"/>
      <c r="P429">
        <v>3</v>
      </c>
      <c r="AD429" s="6"/>
      <c r="AE429" t="s">
        <v>42</v>
      </c>
      <c r="AU429" s="6"/>
      <c r="AV429" t="s">
        <v>0</v>
      </c>
      <c r="GB429">
        <v>0</v>
      </c>
    </row>
    <row r="430" spans="1:184">
      <c r="A430">
        <v>0</v>
      </c>
      <c r="O430" s="6"/>
      <c r="P430">
        <v>3</v>
      </c>
      <c r="AD430" s="6"/>
      <c r="AE430" t="s">
        <v>42</v>
      </c>
      <c r="AU430" s="6"/>
      <c r="AV430" t="s">
        <v>0</v>
      </c>
      <c r="GB430">
        <v>0</v>
      </c>
    </row>
    <row r="431" spans="1:184">
      <c r="A431">
        <v>0</v>
      </c>
      <c r="O431" s="6"/>
      <c r="P431">
        <v>3</v>
      </c>
      <c r="AD431" s="6"/>
      <c r="AE431" t="s">
        <v>42</v>
      </c>
      <c r="AU431" s="6"/>
      <c r="AV431" t="s">
        <v>0</v>
      </c>
      <c r="GB431">
        <v>0</v>
      </c>
    </row>
    <row r="432" spans="1:184">
      <c r="A432">
        <v>0</v>
      </c>
      <c r="O432" s="6"/>
      <c r="P432">
        <v>3</v>
      </c>
      <c r="AD432" s="6"/>
      <c r="AE432" t="s">
        <v>42</v>
      </c>
      <c r="AU432" s="6"/>
      <c r="AV432" t="s">
        <v>0</v>
      </c>
      <c r="GB432">
        <v>0</v>
      </c>
    </row>
    <row r="433" spans="1:184">
      <c r="A433">
        <v>0</v>
      </c>
      <c r="O433" s="6"/>
      <c r="P433">
        <v>3</v>
      </c>
      <c r="AD433" s="6"/>
      <c r="AE433" t="s">
        <v>42</v>
      </c>
      <c r="AU433" s="6"/>
      <c r="AV433" t="s">
        <v>0</v>
      </c>
      <c r="GB433">
        <v>0</v>
      </c>
    </row>
    <row r="434" spans="1:184">
      <c r="A434">
        <v>0</v>
      </c>
      <c r="O434" s="6"/>
      <c r="P434">
        <v>3</v>
      </c>
      <c r="AD434" s="6"/>
      <c r="AE434" t="s">
        <v>42</v>
      </c>
      <c r="AU434" s="6"/>
      <c r="AV434" t="s">
        <v>0</v>
      </c>
      <c r="GB434">
        <v>0</v>
      </c>
    </row>
    <row r="435" spans="1:184">
      <c r="A435">
        <v>0</v>
      </c>
      <c r="O435" s="6"/>
      <c r="P435">
        <v>3</v>
      </c>
      <c r="AD435" s="6"/>
      <c r="AE435" t="s">
        <v>42</v>
      </c>
      <c r="AU435" s="6"/>
      <c r="AV435" t="s">
        <v>0</v>
      </c>
      <c r="GB435">
        <v>0</v>
      </c>
    </row>
    <row r="436" spans="1:184">
      <c r="A436">
        <v>0</v>
      </c>
      <c r="O436" s="6"/>
      <c r="P436">
        <v>3</v>
      </c>
      <c r="AD436" s="6"/>
      <c r="AE436" t="s">
        <v>42</v>
      </c>
      <c r="AU436" s="6"/>
      <c r="AV436" t="s">
        <v>0</v>
      </c>
      <c r="GB436">
        <v>0</v>
      </c>
    </row>
    <row r="437" spans="1:184">
      <c r="A437">
        <v>0</v>
      </c>
      <c r="O437" s="6"/>
      <c r="P437">
        <v>3</v>
      </c>
      <c r="AD437" s="6"/>
      <c r="AE437" t="s">
        <v>42</v>
      </c>
      <c r="AU437" s="6"/>
      <c r="AV437" t="s">
        <v>0</v>
      </c>
      <c r="GB437">
        <v>0</v>
      </c>
    </row>
    <row r="438" spans="1:184">
      <c r="A438">
        <v>0</v>
      </c>
      <c r="O438" s="6"/>
      <c r="P438">
        <v>3</v>
      </c>
      <c r="AD438" s="6"/>
      <c r="AE438" t="s">
        <v>42</v>
      </c>
      <c r="AU438" s="6"/>
      <c r="AV438" t="s">
        <v>0</v>
      </c>
      <c r="GB438">
        <v>0</v>
      </c>
    </row>
    <row r="439" spans="1:184">
      <c r="A439">
        <v>0</v>
      </c>
      <c r="O439" s="6"/>
      <c r="P439">
        <v>3</v>
      </c>
      <c r="AD439" s="6"/>
      <c r="AE439" t="s">
        <v>42</v>
      </c>
      <c r="AU439" s="6"/>
      <c r="AV439" t="s">
        <v>0</v>
      </c>
      <c r="GB439">
        <v>0</v>
      </c>
    </row>
    <row r="440" spans="1:184">
      <c r="A440">
        <v>0</v>
      </c>
      <c r="O440" s="6"/>
      <c r="P440">
        <v>3</v>
      </c>
      <c r="AD440" s="6"/>
      <c r="AE440" t="s">
        <v>42</v>
      </c>
      <c r="AU440" s="6"/>
      <c r="AV440" t="s">
        <v>0</v>
      </c>
      <c r="GB440">
        <v>0</v>
      </c>
    </row>
    <row r="441" spans="1:184">
      <c r="A441">
        <v>0</v>
      </c>
      <c r="O441" s="6"/>
      <c r="P441">
        <v>3</v>
      </c>
      <c r="AD441" s="6"/>
      <c r="AE441" t="s">
        <v>42</v>
      </c>
      <c r="AU441" s="6"/>
      <c r="AV441" t="s">
        <v>0</v>
      </c>
      <c r="GB441">
        <v>0</v>
      </c>
    </row>
    <row r="442" spans="1:184">
      <c r="A442">
        <v>0</v>
      </c>
      <c r="O442" s="6"/>
      <c r="P442">
        <v>3</v>
      </c>
      <c r="AD442" s="6"/>
      <c r="AE442" t="s">
        <v>42</v>
      </c>
      <c r="AU442" s="6"/>
      <c r="AV442" t="s">
        <v>0</v>
      </c>
      <c r="GB442">
        <v>0</v>
      </c>
    </row>
    <row r="443" spans="1:184">
      <c r="A443">
        <v>0</v>
      </c>
      <c r="O443" s="6"/>
      <c r="P443">
        <v>3</v>
      </c>
      <c r="AD443" s="6"/>
      <c r="AE443" t="s">
        <v>42</v>
      </c>
      <c r="AU443" s="6"/>
      <c r="AV443" t="s">
        <v>0</v>
      </c>
      <c r="GB443">
        <v>0</v>
      </c>
    </row>
    <row r="444" spans="1:184">
      <c r="A444">
        <v>0</v>
      </c>
      <c r="O444" s="6"/>
      <c r="P444">
        <v>3</v>
      </c>
      <c r="AD444" s="6"/>
      <c r="AE444" t="s">
        <v>42</v>
      </c>
      <c r="AU444" s="6"/>
      <c r="AV444" t="s">
        <v>0</v>
      </c>
      <c r="GB444">
        <v>0</v>
      </c>
    </row>
    <row r="445" spans="1:184">
      <c r="A445">
        <v>0</v>
      </c>
      <c r="O445" s="6"/>
      <c r="P445">
        <v>3</v>
      </c>
      <c r="AD445" s="6"/>
      <c r="AE445" t="s">
        <v>42</v>
      </c>
      <c r="AU445" s="6"/>
      <c r="AV445" t="s">
        <v>0</v>
      </c>
      <c r="GB445">
        <v>0</v>
      </c>
    </row>
    <row r="446" spans="1:184">
      <c r="A446">
        <v>0</v>
      </c>
      <c r="O446" s="6"/>
      <c r="P446">
        <v>3</v>
      </c>
      <c r="AD446" s="6"/>
      <c r="AE446" t="s">
        <v>42</v>
      </c>
      <c r="AU446" s="6"/>
      <c r="AV446" t="s">
        <v>0</v>
      </c>
      <c r="GB446">
        <v>0</v>
      </c>
    </row>
    <row r="447" spans="1:184">
      <c r="A447">
        <v>0</v>
      </c>
      <c r="O447" s="6"/>
      <c r="P447">
        <v>3</v>
      </c>
      <c r="AD447" s="6"/>
      <c r="AE447" t="s">
        <v>42</v>
      </c>
      <c r="AU447" s="6"/>
      <c r="AV447" t="s">
        <v>0</v>
      </c>
      <c r="GB447">
        <v>0</v>
      </c>
    </row>
    <row r="448" spans="1:184">
      <c r="A448">
        <v>0</v>
      </c>
      <c r="O448" s="6"/>
      <c r="P448">
        <v>3</v>
      </c>
      <c r="AD448" s="6"/>
      <c r="AE448" t="s">
        <v>42</v>
      </c>
      <c r="AU448" s="6"/>
      <c r="AV448" t="s">
        <v>0</v>
      </c>
      <c r="GB448">
        <v>0</v>
      </c>
    </row>
    <row r="449" spans="1:184">
      <c r="A449">
        <v>0</v>
      </c>
      <c r="O449" s="6"/>
      <c r="P449">
        <v>3</v>
      </c>
      <c r="AD449" s="6"/>
      <c r="AE449" t="s">
        <v>42</v>
      </c>
      <c r="AU449" s="6"/>
      <c r="AV449" t="s">
        <v>0</v>
      </c>
      <c r="GB449">
        <v>0</v>
      </c>
    </row>
    <row r="450" spans="1:184">
      <c r="A450">
        <v>0</v>
      </c>
      <c r="O450" s="6"/>
      <c r="P450">
        <v>3</v>
      </c>
      <c r="AD450" s="6"/>
      <c r="AE450" t="s">
        <v>42</v>
      </c>
      <c r="AU450" s="6"/>
      <c r="AV450" t="s">
        <v>0</v>
      </c>
      <c r="GB450">
        <v>0</v>
      </c>
    </row>
    <row r="451" spans="1:184">
      <c r="A451">
        <v>0</v>
      </c>
      <c r="O451" s="6"/>
      <c r="P451">
        <v>3</v>
      </c>
      <c r="AD451" s="6"/>
      <c r="AE451" t="s">
        <v>42</v>
      </c>
      <c r="AU451" s="6"/>
      <c r="AV451" t="s">
        <v>0</v>
      </c>
      <c r="GB451">
        <v>0</v>
      </c>
    </row>
    <row r="452" spans="1:184">
      <c r="A452">
        <v>0</v>
      </c>
      <c r="O452" s="6"/>
      <c r="P452">
        <v>3</v>
      </c>
      <c r="AD452" s="6"/>
      <c r="AE452" t="s">
        <v>42</v>
      </c>
      <c r="AU452" s="6"/>
      <c r="AV452" t="s">
        <v>0</v>
      </c>
      <c r="GB452">
        <v>0</v>
      </c>
    </row>
    <row r="453" spans="1:184">
      <c r="A453">
        <v>0</v>
      </c>
      <c r="O453" s="6"/>
      <c r="P453">
        <v>3</v>
      </c>
      <c r="AD453" s="6"/>
      <c r="AE453" t="s">
        <v>42</v>
      </c>
      <c r="AU453" s="6"/>
      <c r="AV453" t="s">
        <v>0</v>
      </c>
      <c r="GB453">
        <v>0</v>
      </c>
    </row>
    <row r="454" spans="1:184">
      <c r="A454">
        <v>0</v>
      </c>
      <c r="O454" s="6"/>
      <c r="P454">
        <v>3</v>
      </c>
      <c r="AD454" s="6"/>
      <c r="AE454" t="s">
        <v>42</v>
      </c>
      <c r="AU454" s="6"/>
      <c r="AV454" t="s">
        <v>0</v>
      </c>
      <c r="GB454">
        <v>0</v>
      </c>
    </row>
    <row r="455" spans="1:184">
      <c r="A455">
        <v>0</v>
      </c>
      <c r="O455" s="6"/>
      <c r="P455">
        <v>3</v>
      </c>
      <c r="AD455" s="6"/>
      <c r="AE455" t="s">
        <v>42</v>
      </c>
      <c r="AU455" s="6"/>
      <c r="AV455" t="s">
        <v>0</v>
      </c>
      <c r="GB455">
        <v>0</v>
      </c>
    </row>
    <row r="456" spans="1:184">
      <c r="A456">
        <v>0</v>
      </c>
      <c r="O456" s="6"/>
      <c r="P456">
        <v>3</v>
      </c>
      <c r="AD456" s="6"/>
      <c r="AE456" t="s">
        <v>42</v>
      </c>
      <c r="AU456" s="6"/>
      <c r="AV456" t="s">
        <v>0</v>
      </c>
      <c r="GB456">
        <v>0</v>
      </c>
    </row>
    <row r="457" spans="1:184">
      <c r="A457">
        <v>0</v>
      </c>
      <c r="O457" s="6"/>
      <c r="P457">
        <v>3</v>
      </c>
      <c r="AD457" s="6"/>
      <c r="AE457" t="s">
        <v>42</v>
      </c>
      <c r="AU457" s="6"/>
      <c r="AV457" t="s">
        <v>0</v>
      </c>
      <c r="GB457">
        <v>0</v>
      </c>
    </row>
    <row r="458" spans="1:184">
      <c r="A458">
        <v>0</v>
      </c>
      <c r="O458" s="6"/>
      <c r="P458">
        <v>3</v>
      </c>
      <c r="AD458" s="6"/>
      <c r="AE458" t="s">
        <v>42</v>
      </c>
      <c r="AU458" s="6"/>
      <c r="AV458" t="s">
        <v>0</v>
      </c>
      <c r="GB458">
        <v>0</v>
      </c>
    </row>
    <row r="459" spans="1:184">
      <c r="A459">
        <v>0</v>
      </c>
      <c r="O459" s="6"/>
      <c r="P459">
        <v>3</v>
      </c>
      <c r="AD459" s="6"/>
      <c r="AE459" t="s">
        <v>42</v>
      </c>
      <c r="AU459" s="6"/>
      <c r="AV459" t="s">
        <v>0</v>
      </c>
      <c r="GB459">
        <v>0</v>
      </c>
    </row>
    <row r="460" spans="1:184">
      <c r="A460">
        <v>0</v>
      </c>
      <c r="O460" s="6"/>
      <c r="P460">
        <v>3</v>
      </c>
      <c r="AD460" s="6"/>
      <c r="AE460" t="s">
        <v>42</v>
      </c>
      <c r="AU460" s="6"/>
      <c r="AV460" t="s">
        <v>0</v>
      </c>
      <c r="GB460">
        <v>0</v>
      </c>
    </row>
    <row r="461" spans="1:184">
      <c r="A461">
        <v>0</v>
      </c>
      <c r="O461" s="6"/>
      <c r="P461">
        <v>3</v>
      </c>
      <c r="AD461" s="6"/>
      <c r="AE461" t="s">
        <v>42</v>
      </c>
      <c r="AU461" s="6"/>
      <c r="AV461" t="s">
        <v>0</v>
      </c>
      <c r="GB461">
        <v>0</v>
      </c>
    </row>
    <row r="462" spans="1:184">
      <c r="A462">
        <v>0</v>
      </c>
      <c r="O462" s="6"/>
      <c r="P462">
        <v>3</v>
      </c>
      <c r="AD462" s="6"/>
      <c r="AE462" t="s">
        <v>42</v>
      </c>
      <c r="AU462" s="6"/>
      <c r="AV462" t="s">
        <v>0</v>
      </c>
      <c r="GB462">
        <v>0</v>
      </c>
    </row>
    <row r="463" spans="1:184">
      <c r="A463">
        <v>0</v>
      </c>
      <c r="O463" s="6"/>
      <c r="P463">
        <v>3</v>
      </c>
      <c r="AD463" s="6"/>
      <c r="AE463" t="s">
        <v>42</v>
      </c>
      <c r="AU463" s="6"/>
      <c r="AV463" t="s">
        <v>0</v>
      </c>
      <c r="GB463">
        <v>0</v>
      </c>
    </row>
    <row r="464" spans="1:184">
      <c r="A464">
        <v>0</v>
      </c>
      <c r="O464" s="6"/>
      <c r="P464">
        <v>3</v>
      </c>
      <c r="AD464" s="6"/>
      <c r="AE464" t="s">
        <v>42</v>
      </c>
      <c r="AU464" s="6"/>
      <c r="AV464" t="s">
        <v>0</v>
      </c>
      <c r="GB464">
        <v>0</v>
      </c>
    </row>
    <row r="465" spans="1:184">
      <c r="A465">
        <v>0</v>
      </c>
      <c r="O465" s="6"/>
      <c r="P465">
        <v>3</v>
      </c>
      <c r="AD465" s="6"/>
      <c r="AE465" t="s">
        <v>42</v>
      </c>
      <c r="AU465" s="6"/>
      <c r="AV465" t="s">
        <v>0</v>
      </c>
      <c r="GB465">
        <v>0</v>
      </c>
    </row>
    <row r="466" spans="1:184">
      <c r="A466">
        <v>0</v>
      </c>
      <c r="O466" s="6"/>
      <c r="P466">
        <v>3</v>
      </c>
      <c r="AD466" s="6"/>
      <c r="AE466" t="s">
        <v>42</v>
      </c>
      <c r="AU466" s="6"/>
      <c r="AV466" t="s">
        <v>0</v>
      </c>
      <c r="GB466">
        <v>0</v>
      </c>
    </row>
    <row r="467" spans="1:184">
      <c r="A467">
        <v>0</v>
      </c>
      <c r="O467" s="6"/>
      <c r="P467">
        <v>3</v>
      </c>
      <c r="AD467" s="6"/>
      <c r="AE467" t="s">
        <v>42</v>
      </c>
      <c r="AU467" s="6"/>
      <c r="AV467" t="s">
        <v>0</v>
      </c>
      <c r="GB467">
        <v>0</v>
      </c>
    </row>
    <row r="468" spans="1:184">
      <c r="A468">
        <v>0</v>
      </c>
      <c r="O468" s="6"/>
      <c r="P468">
        <v>3</v>
      </c>
      <c r="AD468" s="6"/>
      <c r="AE468" t="s">
        <v>42</v>
      </c>
      <c r="AU468" s="6"/>
      <c r="AV468" t="s">
        <v>0</v>
      </c>
      <c r="GB468">
        <v>0</v>
      </c>
    </row>
    <row r="469" spans="1:184">
      <c r="A469">
        <v>0</v>
      </c>
      <c r="O469" s="6"/>
      <c r="P469">
        <v>3</v>
      </c>
      <c r="AD469" s="6"/>
      <c r="AE469" t="s">
        <v>42</v>
      </c>
      <c r="AU469" s="6"/>
      <c r="AV469" t="s">
        <v>0</v>
      </c>
      <c r="GB469">
        <v>0</v>
      </c>
    </row>
    <row r="470" spans="1:184">
      <c r="A470">
        <v>0</v>
      </c>
      <c r="O470" s="6"/>
      <c r="P470">
        <v>3</v>
      </c>
      <c r="AD470" s="6"/>
      <c r="AE470" t="s">
        <v>42</v>
      </c>
      <c r="AU470" s="6"/>
      <c r="AV470" t="s">
        <v>0</v>
      </c>
      <c r="GB470">
        <v>0</v>
      </c>
    </row>
    <row r="471" spans="1:184">
      <c r="A471">
        <v>0</v>
      </c>
      <c r="O471" s="6"/>
      <c r="P471">
        <v>3</v>
      </c>
      <c r="AD471" s="6"/>
      <c r="AE471" t="s">
        <v>42</v>
      </c>
      <c r="AU471" s="6"/>
      <c r="AV471" t="s">
        <v>0</v>
      </c>
      <c r="GB471">
        <v>0</v>
      </c>
    </row>
    <row r="472" spans="1:184">
      <c r="A472">
        <v>0</v>
      </c>
      <c r="O472" s="6"/>
      <c r="P472">
        <v>3</v>
      </c>
      <c r="AD472" s="6"/>
      <c r="AE472" t="s">
        <v>42</v>
      </c>
      <c r="AU472" s="6"/>
      <c r="AV472" t="s">
        <v>0</v>
      </c>
      <c r="GB472">
        <v>0</v>
      </c>
    </row>
    <row r="473" spans="1:184">
      <c r="A473">
        <v>0</v>
      </c>
      <c r="O473" s="6"/>
      <c r="P473">
        <v>3</v>
      </c>
      <c r="AD473" s="6"/>
      <c r="AE473" t="s">
        <v>42</v>
      </c>
      <c r="AU473" s="6"/>
      <c r="AV473" t="s">
        <v>0</v>
      </c>
      <c r="GB473">
        <v>0</v>
      </c>
    </row>
    <row r="474" spans="1:184">
      <c r="A474">
        <v>0</v>
      </c>
      <c r="O474" s="6"/>
      <c r="P474">
        <v>3</v>
      </c>
      <c r="AD474" s="6"/>
      <c r="AE474" t="s">
        <v>42</v>
      </c>
      <c r="AU474" s="6"/>
      <c r="AV474" t="s">
        <v>0</v>
      </c>
      <c r="GB474">
        <v>0</v>
      </c>
    </row>
    <row r="475" spans="1:184">
      <c r="A475">
        <v>0</v>
      </c>
      <c r="O475" s="6"/>
      <c r="P475">
        <v>3</v>
      </c>
      <c r="AD475" s="6"/>
      <c r="AE475" t="s">
        <v>42</v>
      </c>
      <c r="AU475" s="6"/>
      <c r="AV475" t="s">
        <v>0</v>
      </c>
      <c r="GB475">
        <v>0</v>
      </c>
    </row>
    <row r="476" spans="1:184">
      <c r="A476">
        <v>0</v>
      </c>
      <c r="O476" s="6"/>
      <c r="P476">
        <v>3</v>
      </c>
      <c r="AD476" s="6"/>
      <c r="AE476" t="s">
        <v>42</v>
      </c>
      <c r="AU476" s="6"/>
      <c r="AV476" t="s">
        <v>0</v>
      </c>
      <c r="GB476">
        <v>0</v>
      </c>
    </row>
    <row r="477" spans="1:184">
      <c r="A477">
        <v>0</v>
      </c>
      <c r="O477" s="6"/>
      <c r="P477">
        <v>3</v>
      </c>
      <c r="AD477" s="6"/>
      <c r="AE477" t="s">
        <v>42</v>
      </c>
      <c r="AU477" s="6"/>
      <c r="AV477" t="s">
        <v>0</v>
      </c>
      <c r="GB477">
        <v>0</v>
      </c>
    </row>
    <row r="478" spans="1:184">
      <c r="A478">
        <v>0</v>
      </c>
      <c r="O478" s="6"/>
      <c r="P478">
        <v>3</v>
      </c>
      <c r="AD478" s="6"/>
      <c r="AE478" t="s">
        <v>42</v>
      </c>
      <c r="AU478" s="6"/>
      <c r="AV478" t="s">
        <v>0</v>
      </c>
      <c r="GB478">
        <v>0</v>
      </c>
    </row>
    <row r="479" spans="1:184">
      <c r="A479">
        <v>0</v>
      </c>
      <c r="O479" s="6"/>
      <c r="P479">
        <v>3</v>
      </c>
      <c r="AD479" s="6"/>
      <c r="AE479" t="s">
        <v>42</v>
      </c>
      <c r="AU479" s="6"/>
      <c r="AV479" t="s">
        <v>0</v>
      </c>
      <c r="GB479">
        <v>0</v>
      </c>
    </row>
    <row r="480" spans="1:184">
      <c r="A480">
        <v>0</v>
      </c>
      <c r="O480" s="6"/>
      <c r="P480">
        <v>3</v>
      </c>
      <c r="AD480" s="6"/>
      <c r="AE480" t="s">
        <v>42</v>
      </c>
      <c r="AU480" s="6"/>
      <c r="AV480" t="s">
        <v>0</v>
      </c>
      <c r="GB480">
        <v>0</v>
      </c>
    </row>
    <row r="481" spans="1:184">
      <c r="A481">
        <v>0</v>
      </c>
      <c r="O481" s="6"/>
      <c r="P481">
        <v>3</v>
      </c>
      <c r="AD481" s="6"/>
      <c r="AE481" t="s">
        <v>42</v>
      </c>
      <c r="AU481" s="6"/>
      <c r="AV481" t="s">
        <v>0</v>
      </c>
      <c r="GB481">
        <v>0</v>
      </c>
    </row>
    <row r="482" spans="1:184">
      <c r="A482">
        <v>0</v>
      </c>
      <c r="O482" s="6"/>
      <c r="P482">
        <v>3</v>
      </c>
      <c r="AD482" s="6"/>
      <c r="AE482" t="s">
        <v>42</v>
      </c>
      <c r="AU482" s="6"/>
      <c r="AV482" t="s">
        <v>0</v>
      </c>
      <c r="GB482">
        <v>0</v>
      </c>
    </row>
    <row r="483" spans="1:184">
      <c r="A483">
        <v>0</v>
      </c>
      <c r="O483" s="6"/>
      <c r="P483">
        <v>3</v>
      </c>
      <c r="AD483" s="6"/>
      <c r="AE483" t="s">
        <v>42</v>
      </c>
      <c r="AU483" s="6"/>
      <c r="AV483" t="s">
        <v>0</v>
      </c>
      <c r="GB483">
        <v>0</v>
      </c>
    </row>
    <row r="484" spans="1:184">
      <c r="A484">
        <v>0</v>
      </c>
      <c r="O484" s="6"/>
      <c r="P484">
        <v>3</v>
      </c>
      <c r="AD484" s="6"/>
      <c r="AE484" t="s">
        <v>42</v>
      </c>
      <c r="AU484" s="6"/>
      <c r="AV484" t="s">
        <v>0</v>
      </c>
      <c r="GB484">
        <v>0</v>
      </c>
    </row>
    <row r="485" spans="1:184">
      <c r="A485">
        <v>0</v>
      </c>
      <c r="O485" s="6"/>
      <c r="P485">
        <v>3</v>
      </c>
      <c r="AD485" s="6"/>
      <c r="AE485" t="s">
        <v>42</v>
      </c>
      <c r="AU485" s="6"/>
      <c r="AV485" t="s">
        <v>0</v>
      </c>
      <c r="GB485">
        <v>0</v>
      </c>
    </row>
    <row r="486" spans="1:184">
      <c r="A486">
        <v>0</v>
      </c>
      <c r="O486" s="6"/>
      <c r="P486">
        <v>3</v>
      </c>
      <c r="AD486" s="6"/>
      <c r="AE486" t="s">
        <v>42</v>
      </c>
      <c r="AU486" s="6"/>
      <c r="AV486" t="s">
        <v>0</v>
      </c>
      <c r="GB486">
        <v>0</v>
      </c>
    </row>
    <row r="487" spans="1:184">
      <c r="A487">
        <v>0</v>
      </c>
      <c r="O487" s="6"/>
      <c r="P487">
        <v>3</v>
      </c>
      <c r="AD487" s="6"/>
      <c r="AE487" t="s">
        <v>42</v>
      </c>
      <c r="AU487" s="6"/>
      <c r="AV487" t="s">
        <v>0</v>
      </c>
      <c r="GB487">
        <v>0</v>
      </c>
    </row>
    <row r="488" spans="1:184">
      <c r="A488">
        <v>0</v>
      </c>
      <c r="O488" s="6"/>
      <c r="P488">
        <v>3</v>
      </c>
      <c r="AD488" s="6"/>
      <c r="AE488" t="s">
        <v>42</v>
      </c>
      <c r="AU488" s="6"/>
      <c r="AV488" t="s">
        <v>0</v>
      </c>
      <c r="GB488">
        <v>0</v>
      </c>
    </row>
    <row r="489" spans="1:184">
      <c r="A489">
        <v>0</v>
      </c>
      <c r="O489" s="6"/>
      <c r="P489">
        <v>3</v>
      </c>
      <c r="AD489" s="6"/>
      <c r="AE489" t="s">
        <v>42</v>
      </c>
      <c r="AU489" s="6"/>
      <c r="AV489" t="s">
        <v>0</v>
      </c>
      <c r="GB489">
        <v>0</v>
      </c>
    </row>
    <row r="490" spans="1:184">
      <c r="A490">
        <v>0</v>
      </c>
      <c r="O490" s="6"/>
      <c r="P490">
        <v>3</v>
      </c>
      <c r="AD490" s="6"/>
      <c r="AE490" t="s">
        <v>42</v>
      </c>
      <c r="AU490" s="6"/>
      <c r="AV490" t="s">
        <v>0</v>
      </c>
      <c r="GB490">
        <v>0</v>
      </c>
    </row>
    <row r="491" spans="1:184">
      <c r="A491">
        <v>0</v>
      </c>
      <c r="O491" s="6"/>
      <c r="P491">
        <v>3</v>
      </c>
      <c r="AD491" s="6"/>
      <c r="AE491" t="s">
        <v>42</v>
      </c>
      <c r="AU491" s="6"/>
      <c r="AV491" t="s">
        <v>0</v>
      </c>
      <c r="GB491">
        <v>0</v>
      </c>
    </row>
    <row r="492" spans="1:184">
      <c r="A492">
        <v>0</v>
      </c>
      <c r="O492" s="6"/>
      <c r="P492">
        <v>3</v>
      </c>
      <c r="AD492" s="6"/>
      <c r="AE492" t="s">
        <v>42</v>
      </c>
      <c r="AU492" s="6"/>
      <c r="AV492" t="s">
        <v>0</v>
      </c>
      <c r="GB492">
        <v>0</v>
      </c>
    </row>
    <row r="493" spans="1:184">
      <c r="A493">
        <v>0</v>
      </c>
      <c r="O493" s="6"/>
      <c r="P493">
        <v>3</v>
      </c>
      <c r="AD493" s="6"/>
      <c r="AE493" t="s">
        <v>42</v>
      </c>
      <c r="AU493" s="6"/>
      <c r="AV493" t="s">
        <v>0</v>
      </c>
      <c r="GB493">
        <v>0</v>
      </c>
    </row>
    <row r="494" spans="1:184">
      <c r="A494">
        <v>0</v>
      </c>
      <c r="O494" s="6"/>
      <c r="P494">
        <v>3</v>
      </c>
      <c r="AD494" s="6"/>
      <c r="AE494" t="s">
        <v>42</v>
      </c>
      <c r="AU494" s="6"/>
      <c r="AV494" t="s">
        <v>0</v>
      </c>
      <c r="GB494">
        <v>0</v>
      </c>
    </row>
    <row r="495" spans="1:184">
      <c r="A495">
        <v>0</v>
      </c>
      <c r="O495" s="6"/>
      <c r="P495">
        <v>3</v>
      </c>
      <c r="AD495" s="6"/>
      <c r="AE495" t="s">
        <v>42</v>
      </c>
      <c r="AU495" s="6"/>
      <c r="AV495" t="s">
        <v>0</v>
      </c>
      <c r="GB495">
        <v>0</v>
      </c>
    </row>
    <row r="496" spans="1:184">
      <c r="A496">
        <v>0</v>
      </c>
      <c r="O496" s="6"/>
      <c r="P496">
        <v>3</v>
      </c>
      <c r="AD496" s="6"/>
      <c r="AE496" t="s">
        <v>42</v>
      </c>
      <c r="AU496" s="6"/>
      <c r="AV496" t="s">
        <v>0</v>
      </c>
      <c r="GB496">
        <v>0</v>
      </c>
    </row>
    <row r="497" spans="1:184">
      <c r="A497">
        <v>0</v>
      </c>
      <c r="O497" s="6"/>
      <c r="P497">
        <v>3</v>
      </c>
      <c r="AD497" s="6"/>
      <c r="AE497" t="s">
        <v>42</v>
      </c>
      <c r="AU497" s="6"/>
      <c r="AV497" t="s">
        <v>0</v>
      </c>
      <c r="GB497">
        <v>0</v>
      </c>
    </row>
    <row r="498" spans="1:184">
      <c r="A498">
        <v>0</v>
      </c>
      <c r="O498" s="6"/>
      <c r="P498">
        <v>3</v>
      </c>
      <c r="AD498" s="6"/>
      <c r="AE498" t="s">
        <v>42</v>
      </c>
      <c r="AU498" s="6"/>
      <c r="AV498" t="s">
        <v>0</v>
      </c>
      <c r="GB498">
        <v>0</v>
      </c>
    </row>
    <row r="499" spans="1:184">
      <c r="A499">
        <v>0</v>
      </c>
      <c r="O499" s="6"/>
      <c r="P499">
        <v>3</v>
      </c>
      <c r="AD499" s="6"/>
      <c r="AE499" t="s">
        <v>42</v>
      </c>
      <c r="AU499" s="6"/>
      <c r="AV499" t="s">
        <v>0</v>
      </c>
      <c r="GB499">
        <v>0</v>
      </c>
    </row>
    <row r="500" spans="1:184">
      <c r="A500">
        <v>0</v>
      </c>
      <c r="O500" s="6"/>
      <c r="P500">
        <v>3</v>
      </c>
      <c r="AD500" s="6"/>
      <c r="AE500" t="s">
        <v>42</v>
      </c>
      <c r="AU500" s="6"/>
      <c r="AV500" t="s">
        <v>0</v>
      </c>
      <c r="GB500">
        <v>0</v>
      </c>
    </row>
    <row r="501" spans="1:184">
      <c r="A501">
        <v>0</v>
      </c>
      <c r="O501" s="6"/>
      <c r="P501">
        <v>3</v>
      </c>
      <c r="AD501" s="6"/>
      <c r="AE501" t="s">
        <v>42</v>
      </c>
      <c r="AU501" s="6"/>
      <c r="AV501" t="s">
        <v>0</v>
      </c>
      <c r="GB501">
        <v>0</v>
      </c>
    </row>
    <row r="502" spans="1:184">
      <c r="A502">
        <v>0</v>
      </c>
      <c r="O502" s="6"/>
      <c r="P502">
        <v>3</v>
      </c>
      <c r="AD502" s="6"/>
      <c r="AE502" t="s">
        <v>42</v>
      </c>
      <c r="AU502" s="6"/>
      <c r="AV502" t="s">
        <v>0</v>
      </c>
      <c r="GB502">
        <v>0</v>
      </c>
    </row>
    <row r="503" spans="1:184">
      <c r="A503">
        <v>0</v>
      </c>
      <c r="O503" s="6"/>
      <c r="P503">
        <v>3</v>
      </c>
      <c r="AD503" s="6"/>
      <c r="AE503" t="s">
        <v>42</v>
      </c>
      <c r="AU503" s="6"/>
      <c r="AV503" t="s">
        <v>0</v>
      </c>
      <c r="GB503">
        <v>0</v>
      </c>
    </row>
    <row r="504" spans="1:184">
      <c r="A504">
        <v>0</v>
      </c>
      <c r="O504" s="6"/>
      <c r="P504">
        <v>3</v>
      </c>
      <c r="AD504" s="6"/>
      <c r="AE504" t="s">
        <v>42</v>
      </c>
      <c r="AU504" s="6"/>
      <c r="AV504" t="s">
        <v>0</v>
      </c>
      <c r="GB504">
        <v>0</v>
      </c>
    </row>
    <row r="505" spans="1:184">
      <c r="A505">
        <v>0</v>
      </c>
      <c r="O505" s="6"/>
      <c r="P505">
        <v>3</v>
      </c>
      <c r="AD505" s="6"/>
      <c r="AE505" t="s">
        <v>42</v>
      </c>
      <c r="AU505" s="6"/>
      <c r="AV505" t="s">
        <v>0</v>
      </c>
      <c r="GB505">
        <v>0</v>
      </c>
    </row>
    <row r="506" spans="1:184">
      <c r="A506">
        <v>0</v>
      </c>
      <c r="O506" s="6"/>
      <c r="P506">
        <v>3</v>
      </c>
      <c r="AD506" s="6"/>
      <c r="AE506" t="s">
        <v>42</v>
      </c>
      <c r="AU506" s="6"/>
      <c r="AV506" t="s">
        <v>0</v>
      </c>
      <c r="GB506">
        <v>0</v>
      </c>
    </row>
    <row r="507" spans="1:184">
      <c r="A507">
        <v>0</v>
      </c>
      <c r="O507" s="6"/>
      <c r="P507">
        <v>3</v>
      </c>
      <c r="AD507" s="6"/>
      <c r="AE507" t="s">
        <v>42</v>
      </c>
      <c r="AU507" s="6"/>
      <c r="AV507" t="s">
        <v>0</v>
      </c>
      <c r="GB507">
        <v>0</v>
      </c>
    </row>
    <row r="508" spans="1:184">
      <c r="A508">
        <v>0</v>
      </c>
      <c r="O508" s="6"/>
      <c r="P508">
        <v>3</v>
      </c>
      <c r="AD508" s="6"/>
      <c r="AE508" t="s">
        <v>42</v>
      </c>
      <c r="AU508" s="6"/>
      <c r="AV508" t="s">
        <v>0</v>
      </c>
      <c r="GB508">
        <v>0</v>
      </c>
    </row>
    <row r="509" spans="1:184">
      <c r="A509">
        <v>0</v>
      </c>
      <c r="O509" s="6"/>
      <c r="P509">
        <v>3</v>
      </c>
      <c r="AD509" s="6"/>
      <c r="AE509" t="s">
        <v>42</v>
      </c>
      <c r="AU509" s="6"/>
      <c r="AV509" t="s">
        <v>0</v>
      </c>
      <c r="GB509">
        <v>0</v>
      </c>
    </row>
    <row r="510" spans="1:184">
      <c r="A510">
        <v>0</v>
      </c>
      <c r="O510" s="6"/>
      <c r="P510">
        <v>3</v>
      </c>
      <c r="AD510" s="6"/>
      <c r="AE510" t="s">
        <v>42</v>
      </c>
      <c r="AU510" s="6"/>
      <c r="AV510" t="s">
        <v>0</v>
      </c>
      <c r="GB510">
        <v>0</v>
      </c>
    </row>
    <row r="511" spans="1:184">
      <c r="A511">
        <v>0</v>
      </c>
      <c r="O511" s="6"/>
      <c r="P511">
        <v>3</v>
      </c>
      <c r="AD511" s="6"/>
      <c r="AE511" t="s">
        <v>42</v>
      </c>
      <c r="AU511" s="6"/>
      <c r="AV511" t="s">
        <v>0</v>
      </c>
      <c r="GB511">
        <v>0</v>
      </c>
    </row>
    <row r="512" spans="1:184">
      <c r="A512">
        <v>0</v>
      </c>
      <c r="O512" s="6"/>
      <c r="P512">
        <v>3</v>
      </c>
      <c r="AD512" s="6"/>
      <c r="AE512" t="s">
        <v>42</v>
      </c>
      <c r="AU512" s="6"/>
      <c r="AV512" t="s">
        <v>0</v>
      </c>
      <c r="GB512">
        <v>0</v>
      </c>
    </row>
    <row r="513" spans="1:184">
      <c r="A513">
        <v>0</v>
      </c>
      <c r="O513" s="6"/>
      <c r="P513">
        <v>3</v>
      </c>
      <c r="AD513" s="6"/>
      <c r="AE513" t="s">
        <v>42</v>
      </c>
      <c r="AU513" s="6"/>
      <c r="AV513" t="s">
        <v>0</v>
      </c>
      <c r="GB513">
        <v>0</v>
      </c>
    </row>
    <row r="514" spans="1:184">
      <c r="A514">
        <v>0</v>
      </c>
      <c r="O514" s="6"/>
      <c r="P514">
        <v>3</v>
      </c>
      <c r="AD514" s="6"/>
      <c r="AE514" t="s">
        <v>42</v>
      </c>
      <c r="AU514" s="6"/>
      <c r="AV514" t="s">
        <v>0</v>
      </c>
      <c r="GB514">
        <v>0</v>
      </c>
    </row>
    <row r="515" spans="1:184">
      <c r="A515">
        <v>0</v>
      </c>
      <c r="O515" s="6"/>
      <c r="P515">
        <v>3</v>
      </c>
      <c r="AD515" s="6"/>
      <c r="AE515" t="s">
        <v>42</v>
      </c>
      <c r="AU515" s="6"/>
      <c r="AV515" t="s">
        <v>0</v>
      </c>
      <c r="GB515">
        <v>0</v>
      </c>
    </row>
    <row r="516" spans="1:184">
      <c r="A516">
        <v>0</v>
      </c>
      <c r="O516" s="6"/>
      <c r="P516">
        <v>3</v>
      </c>
      <c r="AD516" s="6"/>
      <c r="AE516" t="s">
        <v>42</v>
      </c>
      <c r="AU516" s="6"/>
      <c r="AV516" t="s">
        <v>0</v>
      </c>
      <c r="GB516">
        <v>0</v>
      </c>
    </row>
    <row r="517" spans="1:184">
      <c r="A517">
        <v>0</v>
      </c>
      <c r="O517" s="6"/>
      <c r="P517">
        <v>3</v>
      </c>
      <c r="AD517" s="6"/>
      <c r="AE517" t="s">
        <v>42</v>
      </c>
      <c r="AU517" s="6"/>
      <c r="AV517" t="s">
        <v>0</v>
      </c>
      <c r="GB517">
        <v>0</v>
      </c>
    </row>
    <row r="518" spans="1:184">
      <c r="A518">
        <v>0</v>
      </c>
      <c r="O518" s="6"/>
      <c r="P518">
        <v>3</v>
      </c>
      <c r="AD518" s="6"/>
      <c r="AE518" t="s">
        <v>42</v>
      </c>
      <c r="AU518" s="6"/>
      <c r="AV518" t="s">
        <v>0</v>
      </c>
      <c r="GB518">
        <v>0</v>
      </c>
    </row>
    <row r="519" spans="1:184">
      <c r="A519">
        <v>0</v>
      </c>
      <c r="O519" s="6"/>
      <c r="P519">
        <v>3</v>
      </c>
      <c r="AD519" s="6"/>
      <c r="AE519" t="s">
        <v>42</v>
      </c>
      <c r="AU519" s="6"/>
      <c r="AV519" t="s">
        <v>0</v>
      </c>
      <c r="GB519">
        <v>0</v>
      </c>
    </row>
    <row r="520" spans="1:184">
      <c r="A520">
        <v>0</v>
      </c>
      <c r="O520" s="6"/>
      <c r="P520">
        <v>3</v>
      </c>
      <c r="AD520" s="6"/>
      <c r="AE520" t="s">
        <v>42</v>
      </c>
      <c r="AU520" s="6"/>
      <c r="AV520" t="s">
        <v>0</v>
      </c>
      <c r="GB520">
        <v>0</v>
      </c>
    </row>
    <row r="521" spans="1:184">
      <c r="A521">
        <v>0</v>
      </c>
      <c r="O521" s="6"/>
      <c r="P521">
        <v>3</v>
      </c>
      <c r="AD521" s="6"/>
      <c r="AE521" t="s">
        <v>42</v>
      </c>
      <c r="AU521" s="6"/>
      <c r="AV521" t="s">
        <v>0</v>
      </c>
      <c r="GB521">
        <v>0</v>
      </c>
    </row>
    <row r="522" spans="1:184">
      <c r="A522">
        <v>0</v>
      </c>
      <c r="O522" s="6"/>
      <c r="P522">
        <v>3</v>
      </c>
      <c r="AD522" s="6"/>
      <c r="AE522" t="s">
        <v>42</v>
      </c>
      <c r="AU522" s="6"/>
      <c r="AV522" t="s">
        <v>0</v>
      </c>
      <c r="GB522">
        <v>0</v>
      </c>
    </row>
    <row r="523" spans="1:184">
      <c r="A523">
        <v>0</v>
      </c>
      <c r="O523" s="6"/>
      <c r="P523">
        <v>3</v>
      </c>
      <c r="AD523" s="6"/>
      <c r="AE523" t="s">
        <v>42</v>
      </c>
      <c r="AU523" s="6"/>
      <c r="AV523" t="s">
        <v>0</v>
      </c>
      <c r="GB523">
        <v>0</v>
      </c>
    </row>
    <row r="524" spans="1:184">
      <c r="A524">
        <v>0</v>
      </c>
      <c r="O524" s="6"/>
      <c r="P524">
        <v>3</v>
      </c>
      <c r="AD524" s="6"/>
      <c r="AE524" t="s">
        <v>42</v>
      </c>
      <c r="AU524" s="6"/>
      <c r="AV524" t="s">
        <v>0</v>
      </c>
      <c r="GB524">
        <v>0</v>
      </c>
    </row>
    <row r="525" spans="1:184">
      <c r="A525">
        <v>0</v>
      </c>
      <c r="O525" s="6"/>
      <c r="P525">
        <v>3</v>
      </c>
      <c r="AD525" s="6"/>
      <c r="AE525" t="s">
        <v>42</v>
      </c>
      <c r="AU525" s="6"/>
      <c r="AV525" t="s">
        <v>0</v>
      </c>
      <c r="GB525">
        <v>0</v>
      </c>
    </row>
    <row r="526" spans="1:184">
      <c r="A526">
        <v>0</v>
      </c>
      <c r="O526" s="6"/>
      <c r="P526">
        <v>3</v>
      </c>
      <c r="AD526" s="6"/>
      <c r="AE526" t="s">
        <v>42</v>
      </c>
      <c r="AU526" s="6"/>
      <c r="AV526" t="s">
        <v>0</v>
      </c>
      <c r="GB526">
        <v>0</v>
      </c>
    </row>
    <row r="527" spans="1:184">
      <c r="A527">
        <v>0</v>
      </c>
      <c r="O527" s="6"/>
      <c r="P527">
        <v>3</v>
      </c>
      <c r="AD527" s="6"/>
      <c r="AE527" t="s">
        <v>42</v>
      </c>
      <c r="AU527" s="6"/>
      <c r="AV527" t="s">
        <v>0</v>
      </c>
      <c r="GB527">
        <v>0</v>
      </c>
    </row>
    <row r="528" spans="1:184">
      <c r="A528">
        <v>0</v>
      </c>
      <c r="O528" s="6"/>
      <c r="P528">
        <v>3</v>
      </c>
      <c r="AD528" s="6"/>
      <c r="AE528" t="s">
        <v>42</v>
      </c>
      <c r="AU528" s="6"/>
      <c r="AV528" t="s">
        <v>0</v>
      </c>
      <c r="GB528">
        <v>0</v>
      </c>
    </row>
    <row r="529" spans="1:184">
      <c r="A529">
        <v>0</v>
      </c>
      <c r="O529" s="6"/>
      <c r="P529">
        <v>3</v>
      </c>
      <c r="AD529" s="6"/>
      <c r="AE529" t="s">
        <v>42</v>
      </c>
      <c r="AU529" s="6"/>
      <c r="AV529" t="s">
        <v>0</v>
      </c>
      <c r="GB529">
        <v>0</v>
      </c>
    </row>
    <row r="530" spans="1:184">
      <c r="A530">
        <v>0</v>
      </c>
      <c r="O530" s="6"/>
      <c r="P530">
        <v>3</v>
      </c>
      <c r="AD530" s="6"/>
      <c r="AE530" t="s">
        <v>42</v>
      </c>
      <c r="AU530" s="6"/>
      <c r="AV530" t="s">
        <v>0</v>
      </c>
      <c r="GB530">
        <v>0</v>
      </c>
    </row>
    <row r="531" spans="1:184">
      <c r="A531">
        <v>0</v>
      </c>
      <c r="O531" s="6"/>
      <c r="P531">
        <v>3</v>
      </c>
      <c r="AD531" s="6"/>
      <c r="AE531" t="s">
        <v>42</v>
      </c>
      <c r="AU531" s="6"/>
      <c r="AV531" t="s">
        <v>0</v>
      </c>
      <c r="GB531">
        <v>0</v>
      </c>
    </row>
    <row r="532" spans="1:184">
      <c r="A532">
        <v>0</v>
      </c>
      <c r="O532" s="6"/>
      <c r="P532">
        <v>3</v>
      </c>
      <c r="AD532" s="6"/>
      <c r="AE532" t="s">
        <v>42</v>
      </c>
      <c r="AU532" s="6"/>
      <c r="AV532" t="s">
        <v>0</v>
      </c>
      <c r="GB532">
        <v>0</v>
      </c>
    </row>
    <row r="533" spans="1:184">
      <c r="A533">
        <v>0</v>
      </c>
      <c r="O533" s="6"/>
      <c r="P533">
        <v>3</v>
      </c>
      <c r="AD533" s="6"/>
      <c r="AE533" t="s">
        <v>42</v>
      </c>
      <c r="AU533" s="6"/>
      <c r="AV533" t="s">
        <v>0</v>
      </c>
      <c r="GB533">
        <v>0</v>
      </c>
    </row>
    <row r="534" spans="1:184">
      <c r="A534">
        <v>0</v>
      </c>
      <c r="O534" s="6"/>
      <c r="P534">
        <v>3</v>
      </c>
      <c r="AD534" s="6"/>
      <c r="AE534" t="s">
        <v>42</v>
      </c>
      <c r="AU534" s="6"/>
      <c r="AV534" t="s">
        <v>0</v>
      </c>
      <c r="GB534">
        <v>0</v>
      </c>
    </row>
    <row r="535" spans="1:184">
      <c r="A535">
        <v>0</v>
      </c>
      <c r="O535" s="6"/>
      <c r="P535">
        <v>3</v>
      </c>
      <c r="AD535" s="6"/>
      <c r="AE535" t="s">
        <v>42</v>
      </c>
      <c r="AU535" s="6"/>
      <c r="AV535" t="s">
        <v>0</v>
      </c>
      <c r="GB535">
        <v>0</v>
      </c>
    </row>
    <row r="536" spans="1:184">
      <c r="A536">
        <v>0</v>
      </c>
      <c r="O536" s="6"/>
      <c r="P536">
        <v>3</v>
      </c>
      <c r="AD536" s="6"/>
      <c r="AE536" t="s">
        <v>42</v>
      </c>
      <c r="AU536" s="6"/>
      <c r="AV536" t="s">
        <v>0</v>
      </c>
      <c r="GB536">
        <v>0</v>
      </c>
    </row>
    <row r="537" spans="1:184">
      <c r="A537">
        <v>0</v>
      </c>
      <c r="O537" s="6"/>
      <c r="P537">
        <v>3</v>
      </c>
      <c r="AD537" s="6"/>
      <c r="AE537" t="s">
        <v>42</v>
      </c>
      <c r="AU537" s="6"/>
      <c r="AV537" t="s">
        <v>0</v>
      </c>
      <c r="GB537">
        <v>0</v>
      </c>
    </row>
    <row r="538" spans="1:184">
      <c r="A538">
        <v>0</v>
      </c>
      <c r="O538" s="6"/>
      <c r="P538">
        <v>3</v>
      </c>
      <c r="AD538" s="6"/>
      <c r="AE538" t="s">
        <v>42</v>
      </c>
      <c r="AU538" s="6"/>
      <c r="AV538" t="s">
        <v>0</v>
      </c>
      <c r="GB538">
        <v>0</v>
      </c>
    </row>
    <row r="539" spans="1:184">
      <c r="A539">
        <v>0</v>
      </c>
      <c r="O539" s="6"/>
      <c r="P539">
        <v>3</v>
      </c>
      <c r="AD539" s="6"/>
      <c r="AE539" t="s">
        <v>42</v>
      </c>
      <c r="AU539" s="6"/>
      <c r="AV539" t="s">
        <v>0</v>
      </c>
      <c r="GB539">
        <v>0</v>
      </c>
    </row>
    <row r="540" spans="1:184">
      <c r="A540">
        <v>0</v>
      </c>
      <c r="O540" s="6"/>
      <c r="P540">
        <v>3</v>
      </c>
      <c r="AD540" s="6"/>
      <c r="AE540" t="s">
        <v>42</v>
      </c>
      <c r="AU540" s="6"/>
      <c r="AV540" t="s">
        <v>0</v>
      </c>
      <c r="GB540">
        <v>0</v>
      </c>
    </row>
    <row r="541" spans="1:184">
      <c r="A541">
        <v>0</v>
      </c>
      <c r="O541" s="6"/>
      <c r="P541">
        <v>3</v>
      </c>
      <c r="AD541" s="6"/>
      <c r="AE541" t="s">
        <v>42</v>
      </c>
      <c r="AU541" s="6"/>
      <c r="AV541" t="s">
        <v>0</v>
      </c>
      <c r="GB541">
        <v>0</v>
      </c>
    </row>
    <row r="542" spans="1:184">
      <c r="A542">
        <v>0</v>
      </c>
      <c r="O542" s="6"/>
      <c r="P542">
        <v>3</v>
      </c>
      <c r="AD542" s="6"/>
      <c r="AE542" t="s">
        <v>42</v>
      </c>
      <c r="AU542" s="6"/>
      <c r="AV542" t="s">
        <v>0</v>
      </c>
      <c r="GB542">
        <v>0</v>
      </c>
    </row>
    <row r="543" spans="1:184">
      <c r="A543">
        <v>0</v>
      </c>
      <c r="O543" s="6"/>
      <c r="P543">
        <v>3</v>
      </c>
      <c r="AD543" s="6"/>
      <c r="AE543" t="s">
        <v>42</v>
      </c>
      <c r="AU543" s="6"/>
      <c r="AV543" t="s">
        <v>0</v>
      </c>
      <c r="GB543">
        <v>0</v>
      </c>
    </row>
    <row r="544" spans="1:184">
      <c r="A544">
        <v>0</v>
      </c>
      <c r="O544" s="6"/>
      <c r="P544">
        <v>3</v>
      </c>
      <c r="AD544" s="6"/>
      <c r="AE544" t="s">
        <v>42</v>
      </c>
      <c r="AU544" s="6"/>
      <c r="AV544" t="s">
        <v>0</v>
      </c>
      <c r="GB544">
        <v>0</v>
      </c>
    </row>
    <row r="545" spans="1:184">
      <c r="A545">
        <v>0</v>
      </c>
      <c r="O545" s="6"/>
      <c r="P545">
        <v>3</v>
      </c>
      <c r="AD545" s="6"/>
      <c r="AE545" t="s">
        <v>42</v>
      </c>
      <c r="AU545" s="6"/>
      <c r="AV545" t="s">
        <v>0</v>
      </c>
      <c r="GB545">
        <v>0</v>
      </c>
    </row>
    <row r="546" spans="1:184">
      <c r="A546">
        <v>0</v>
      </c>
      <c r="O546" s="6"/>
      <c r="P546">
        <v>3</v>
      </c>
      <c r="AD546" s="6"/>
      <c r="AE546" t="s">
        <v>42</v>
      </c>
      <c r="AU546" s="6"/>
      <c r="AV546" t="s">
        <v>0</v>
      </c>
      <c r="GB546">
        <v>0</v>
      </c>
    </row>
    <row r="547" spans="1:184">
      <c r="A547">
        <v>0</v>
      </c>
      <c r="O547" s="6"/>
      <c r="P547">
        <v>3</v>
      </c>
      <c r="AD547" s="6"/>
      <c r="AE547" t="s">
        <v>42</v>
      </c>
      <c r="AU547" s="6"/>
      <c r="AV547" t="s">
        <v>0</v>
      </c>
      <c r="GB547">
        <v>0</v>
      </c>
    </row>
    <row r="548" spans="1:184">
      <c r="A548">
        <v>0</v>
      </c>
      <c r="O548" s="6"/>
      <c r="P548">
        <v>3</v>
      </c>
      <c r="AD548" s="6"/>
      <c r="AE548" t="s">
        <v>42</v>
      </c>
      <c r="AU548" s="6"/>
      <c r="AV548" t="s">
        <v>0</v>
      </c>
      <c r="GB548">
        <v>0</v>
      </c>
    </row>
    <row r="549" spans="1:184">
      <c r="A549">
        <v>0</v>
      </c>
      <c r="O549" s="6"/>
      <c r="P549">
        <v>3</v>
      </c>
      <c r="AD549" s="6"/>
      <c r="AE549" t="s">
        <v>42</v>
      </c>
      <c r="AU549" s="6"/>
      <c r="AV549" t="s">
        <v>0</v>
      </c>
      <c r="GB549">
        <v>0</v>
      </c>
    </row>
    <row r="550" spans="1:184">
      <c r="A550">
        <v>0</v>
      </c>
      <c r="O550" s="6"/>
      <c r="P550">
        <v>3</v>
      </c>
      <c r="AD550" s="6"/>
      <c r="AE550" t="s">
        <v>42</v>
      </c>
      <c r="AU550" s="6"/>
      <c r="AV550" t="s">
        <v>0</v>
      </c>
      <c r="GB550">
        <v>0</v>
      </c>
    </row>
    <row r="551" spans="1:184">
      <c r="A551">
        <v>1</v>
      </c>
      <c r="O551" s="6"/>
      <c r="P551">
        <v>3</v>
      </c>
      <c r="AD551" s="6"/>
      <c r="AE551" t="s">
        <v>42</v>
      </c>
      <c r="AU551" s="6"/>
      <c r="AV551" t="s">
        <v>0</v>
      </c>
      <c r="GB551">
        <v>0</v>
      </c>
    </row>
    <row r="552" spans="1:184">
      <c r="A552">
        <v>1</v>
      </c>
      <c r="O552" s="6"/>
      <c r="P552">
        <v>3</v>
      </c>
      <c r="AD552" s="6"/>
      <c r="AE552" t="s">
        <v>42</v>
      </c>
      <c r="AU552" s="6"/>
      <c r="AV552" t="s">
        <v>0</v>
      </c>
      <c r="GB552">
        <v>0</v>
      </c>
    </row>
    <row r="553" spans="1:184">
      <c r="A553">
        <v>1</v>
      </c>
      <c r="O553" s="6"/>
      <c r="P553">
        <v>3</v>
      </c>
      <c r="AD553" s="6"/>
      <c r="AE553" t="s">
        <v>42</v>
      </c>
      <c r="AU553" s="6"/>
      <c r="AV553" t="s">
        <v>0</v>
      </c>
      <c r="GB553">
        <v>0</v>
      </c>
    </row>
    <row r="554" spans="1:184">
      <c r="A554">
        <v>1</v>
      </c>
      <c r="O554" s="6"/>
      <c r="P554">
        <v>3</v>
      </c>
      <c r="AD554" s="6"/>
      <c r="AE554" t="s">
        <v>42</v>
      </c>
      <c r="AU554" s="6"/>
      <c r="AV554" t="s">
        <v>0</v>
      </c>
      <c r="GB554">
        <v>0</v>
      </c>
    </row>
    <row r="555" spans="1:184">
      <c r="A555">
        <v>1</v>
      </c>
      <c r="O555" s="6"/>
      <c r="P555">
        <v>3</v>
      </c>
      <c r="AD555" s="6"/>
      <c r="AE555" t="s">
        <v>42</v>
      </c>
      <c r="AU555" s="6"/>
      <c r="AV555" t="s">
        <v>0</v>
      </c>
      <c r="GB555">
        <v>0</v>
      </c>
    </row>
    <row r="556" spans="1:184">
      <c r="A556">
        <v>1</v>
      </c>
      <c r="O556" s="6"/>
      <c r="P556">
        <v>3</v>
      </c>
      <c r="AD556" s="6"/>
      <c r="AE556" t="s">
        <v>42</v>
      </c>
      <c r="AU556" s="6"/>
      <c r="AV556" t="s">
        <v>0</v>
      </c>
      <c r="GB556">
        <v>0</v>
      </c>
    </row>
    <row r="557" spans="1:184">
      <c r="A557">
        <v>1</v>
      </c>
      <c r="O557" s="6"/>
      <c r="P557">
        <v>3</v>
      </c>
      <c r="AD557" s="6"/>
      <c r="AE557" t="s">
        <v>42</v>
      </c>
      <c r="AU557" s="6"/>
      <c r="AV557" t="s">
        <v>0</v>
      </c>
      <c r="GB557">
        <v>0</v>
      </c>
    </row>
    <row r="558" spans="1:184">
      <c r="A558">
        <v>1</v>
      </c>
      <c r="O558" s="6"/>
      <c r="P558">
        <v>3</v>
      </c>
      <c r="AD558" s="6"/>
      <c r="AE558" t="s">
        <v>42</v>
      </c>
      <c r="AU558" s="6"/>
      <c r="AV558" t="s">
        <v>0</v>
      </c>
      <c r="GB558">
        <v>0</v>
      </c>
    </row>
    <row r="559" spans="1:184">
      <c r="A559">
        <v>1</v>
      </c>
      <c r="O559" s="6"/>
      <c r="P559">
        <v>3</v>
      </c>
      <c r="AD559" s="6"/>
      <c r="AE559" t="s">
        <v>42</v>
      </c>
      <c r="AU559" s="6"/>
      <c r="AV559" t="s">
        <v>0</v>
      </c>
      <c r="GB559">
        <v>0</v>
      </c>
    </row>
    <row r="560" spans="1:184">
      <c r="A560">
        <v>1</v>
      </c>
      <c r="O560" s="6"/>
      <c r="P560">
        <v>3</v>
      </c>
      <c r="AD560" s="6"/>
      <c r="AE560" t="s">
        <v>42</v>
      </c>
      <c r="AU560" s="6"/>
      <c r="AV560" t="s">
        <v>0</v>
      </c>
      <c r="GB560">
        <v>0</v>
      </c>
    </row>
    <row r="561" spans="1:184">
      <c r="A561">
        <v>1</v>
      </c>
      <c r="O561" s="6"/>
      <c r="P561">
        <v>3</v>
      </c>
      <c r="AD561" s="6"/>
      <c r="AE561" t="s">
        <v>42</v>
      </c>
      <c r="AU561" s="6"/>
      <c r="AV561" t="s">
        <v>0</v>
      </c>
      <c r="GB561">
        <v>0</v>
      </c>
    </row>
    <row r="562" spans="1:184">
      <c r="A562">
        <v>1</v>
      </c>
      <c r="O562" s="6"/>
      <c r="P562">
        <v>3</v>
      </c>
      <c r="AD562" s="6"/>
      <c r="AE562" t="s">
        <v>42</v>
      </c>
      <c r="AU562" s="6"/>
      <c r="AV562" t="s">
        <v>0</v>
      </c>
      <c r="GB562">
        <v>0</v>
      </c>
    </row>
    <row r="563" spans="1:184">
      <c r="A563">
        <v>1</v>
      </c>
      <c r="O563" s="6"/>
      <c r="P563">
        <v>3</v>
      </c>
      <c r="AD563" s="6"/>
      <c r="AE563" t="s">
        <v>42</v>
      </c>
      <c r="AU563" s="6"/>
      <c r="AV563" t="s">
        <v>0</v>
      </c>
      <c r="GB563">
        <v>0</v>
      </c>
    </row>
    <row r="564" spans="1:184">
      <c r="A564">
        <v>1</v>
      </c>
      <c r="O564" s="6"/>
      <c r="P564">
        <v>3</v>
      </c>
      <c r="AD564" s="6"/>
      <c r="AE564" t="s">
        <v>42</v>
      </c>
      <c r="AU564" s="6"/>
      <c r="AV564" t="s">
        <v>0</v>
      </c>
      <c r="GB564">
        <v>0</v>
      </c>
    </row>
    <row r="565" spans="1:184">
      <c r="A565">
        <v>1</v>
      </c>
      <c r="O565" s="6"/>
      <c r="P565">
        <v>3</v>
      </c>
      <c r="AD565" s="6"/>
      <c r="AE565" t="s">
        <v>42</v>
      </c>
      <c r="AU565" s="6"/>
      <c r="AV565" t="s">
        <v>0</v>
      </c>
      <c r="GB565">
        <v>0</v>
      </c>
    </row>
    <row r="566" spans="1:184">
      <c r="A566">
        <v>1</v>
      </c>
      <c r="O566" s="6"/>
      <c r="P566">
        <v>3</v>
      </c>
      <c r="AD566" s="6"/>
      <c r="AE566" t="s">
        <v>42</v>
      </c>
      <c r="AU566" s="6"/>
      <c r="AV566" t="s">
        <v>0</v>
      </c>
      <c r="GB566">
        <v>0</v>
      </c>
    </row>
    <row r="567" spans="1:184">
      <c r="A567">
        <v>1</v>
      </c>
      <c r="O567" s="6"/>
      <c r="P567">
        <v>3</v>
      </c>
      <c r="AD567" s="6"/>
      <c r="AE567" t="s">
        <v>42</v>
      </c>
      <c r="AU567" s="6"/>
      <c r="AV567" t="s">
        <v>0</v>
      </c>
      <c r="GB567">
        <v>0</v>
      </c>
    </row>
    <row r="568" spans="1:184">
      <c r="A568">
        <v>1</v>
      </c>
      <c r="O568" s="6"/>
      <c r="P568">
        <v>3</v>
      </c>
      <c r="AD568" s="6"/>
      <c r="AE568" t="s">
        <v>42</v>
      </c>
      <c r="AU568" s="6"/>
      <c r="AV568" t="s">
        <v>0</v>
      </c>
      <c r="GB568">
        <v>0</v>
      </c>
    </row>
    <row r="569" spans="1:184">
      <c r="A569">
        <v>1</v>
      </c>
      <c r="O569" s="6"/>
      <c r="P569">
        <v>3</v>
      </c>
      <c r="AD569" s="6"/>
      <c r="AE569" t="s">
        <v>42</v>
      </c>
      <c r="AU569" s="6"/>
      <c r="AV569" t="s">
        <v>0</v>
      </c>
      <c r="GB569">
        <v>0</v>
      </c>
    </row>
    <row r="570" spans="1:184">
      <c r="A570">
        <v>1</v>
      </c>
      <c r="O570" s="6"/>
      <c r="P570">
        <v>3</v>
      </c>
      <c r="AD570" s="6"/>
      <c r="AE570" t="s">
        <v>42</v>
      </c>
      <c r="AU570" s="6"/>
      <c r="AV570" t="s">
        <v>0</v>
      </c>
      <c r="GB570">
        <v>0</v>
      </c>
    </row>
    <row r="571" spans="1:184">
      <c r="A571">
        <v>1</v>
      </c>
      <c r="O571" s="6"/>
      <c r="P571">
        <v>3</v>
      </c>
      <c r="AD571" s="6"/>
      <c r="AE571" t="s">
        <v>42</v>
      </c>
      <c r="AU571" s="6"/>
      <c r="AV571" t="s">
        <v>0</v>
      </c>
      <c r="GB571">
        <v>0</v>
      </c>
    </row>
    <row r="572" spans="1:184">
      <c r="A572">
        <v>1</v>
      </c>
      <c r="O572" s="6"/>
      <c r="P572">
        <v>3</v>
      </c>
      <c r="AD572" s="6"/>
      <c r="AE572" t="s">
        <v>42</v>
      </c>
      <c r="AU572" s="6"/>
      <c r="AV572" t="s">
        <v>0</v>
      </c>
      <c r="GB572">
        <v>0</v>
      </c>
    </row>
    <row r="573" spans="1:184">
      <c r="A573">
        <v>1</v>
      </c>
      <c r="O573" s="6"/>
      <c r="P573">
        <v>3</v>
      </c>
      <c r="AD573" s="6"/>
      <c r="AE573" t="s">
        <v>42</v>
      </c>
      <c r="AU573" s="6"/>
      <c r="AV573" t="s">
        <v>0</v>
      </c>
      <c r="GB573">
        <v>0</v>
      </c>
    </row>
    <row r="574" spans="1:184">
      <c r="A574">
        <v>1</v>
      </c>
      <c r="O574" s="6"/>
      <c r="P574">
        <v>3</v>
      </c>
      <c r="AD574" s="6"/>
      <c r="AE574" t="s">
        <v>42</v>
      </c>
      <c r="AU574" s="6"/>
      <c r="AV574" t="s">
        <v>0</v>
      </c>
      <c r="GB574">
        <v>0</v>
      </c>
    </row>
    <row r="575" spans="1:184">
      <c r="A575">
        <v>1</v>
      </c>
      <c r="O575" s="6"/>
      <c r="P575">
        <v>3</v>
      </c>
      <c r="AD575" s="6"/>
      <c r="AE575" t="s">
        <v>42</v>
      </c>
      <c r="AU575" s="6"/>
      <c r="AV575" t="s">
        <v>0</v>
      </c>
      <c r="GB575">
        <v>0</v>
      </c>
    </row>
    <row r="576" spans="1:184">
      <c r="A576">
        <v>1</v>
      </c>
      <c r="O576" s="6"/>
      <c r="P576">
        <v>3</v>
      </c>
      <c r="AD576" s="6"/>
      <c r="AE576" t="s">
        <v>42</v>
      </c>
      <c r="AU576" s="6"/>
      <c r="AV576" t="s">
        <v>0</v>
      </c>
      <c r="GB576">
        <v>0</v>
      </c>
    </row>
    <row r="577" spans="1:184">
      <c r="A577">
        <v>1</v>
      </c>
      <c r="O577" s="6"/>
      <c r="P577">
        <v>3</v>
      </c>
      <c r="AD577" s="6"/>
      <c r="AE577" t="s">
        <v>42</v>
      </c>
      <c r="AU577" s="6"/>
      <c r="AV577" t="s">
        <v>0</v>
      </c>
      <c r="GB577">
        <v>0</v>
      </c>
    </row>
    <row r="578" spans="1:184">
      <c r="A578">
        <v>1</v>
      </c>
      <c r="O578" s="6"/>
      <c r="P578">
        <v>3</v>
      </c>
      <c r="AD578" s="6"/>
      <c r="AE578" t="s">
        <v>42</v>
      </c>
      <c r="AU578" s="6"/>
      <c r="AV578" t="s">
        <v>0</v>
      </c>
      <c r="GB578">
        <v>0</v>
      </c>
    </row>
    <row r="579" spans="1:184">
      <c r="A579">
        <v>1</v>
      </c>
      <c r="O579" s="6"/>
      <c r="P579">
        <v>3</v>
      </c>
      <c r="AD579" s="6"/>
      <c r="AE579" t="s">
        <v>42</v>
      </c>
      <c r="AU579" s="6"/>
      <c r="AV579" t="s">
        <v>0</v>
      </c>
      <c r="GB579">
        <v>0</v>
      </c>
    </row>
    <row r="580" spans="1:184">
      <c r="A580">
        <v>1</v>
      </c>
      <c r="O580" s="6"/>
      <c r="P580">
        <v>3</v>
      </c>
      <c r="AD580" s="6"/>
      <c r="AE580" t="s">
        <v>42</v>
      </c>
      <c r="AU580" s="6"/>
      <c r="AV580" t="s">
        <v>0</v>
      </c>
      <c r="GB580">
        <v>0</v>
      </c>
    </row>
    <row r="581" spans="1:184">
      <c r="A581">
        <v>1</v>
      </c>
      <c r="O581" s="6"/>
      <c r="P581">
        <v>3</v>
      </c>
      <c r="AD581" s="6"/>
      <c r="AE581" t="s">
        <v>42</v>
      </c>
      <c r="AU581" s="6"/>
      <c r="AV581" t="s">
        <v>0</v>
      </c>
      <c r="GB581">
        <v>0</v>
      </c>
    </row>
    <row r="582" spans="1:184">
      <c r="A582">
        <v>1</v>
      </c>
      <c r="O582" s="6"/>
      <c r="P582">
        <v>3</v>
      </c>
      <c r="AD582" s="6"/>
      <c r="AE582" t="s">
        <v>42</v>
      </c>
      <c r="AU582" s="6"/>
      <c r="AV582" t="s">
        <v>0</v>
      </c>
      <c r="GB582">
        <v>0</v>
      </c>
    </row>
    <row r="583" spans="1:184">
      <c r="A583">
        <v>1</v>
      </c>
      <c r="O583" s="6"/>
      <c r="P583">
        <v>3</v>
      </c>
      <c r="AD583" s="6"/>
      <c r="AE583" t="s">
        <v>42</v>
      </c>
      <c r="AU583" s="6"/>
      <c r="AV583" t="s">
        <v>0</v>
      </c>
      <c r="GB583">
        <v>0</v>
      </c>
    </row>
    <row r="584" spans="1:184">
      <c r="A584">
        <v>1</v>
      </c>
      <c r="O584" s="6"/>
      <c r="P584">
        <v>3</v>
      </c>
      <c r="AD584" s="6"/>
      <c r="AE584" t="s">
        <v>42</v>
      </c>
      <c r="AU584" s="6"/>
      <c r="AV584" t="s">
        <v>0</v>
      </c>
      <c r="GB584">
        <v>0</v>
      </c>
    </row>
    <row r="585" spans="1:184">
      <c r="A585">
        <v>1</v>
      </c>
      <c r="O585" s="6"/>
      <c r="P585">
        <v>3</v>
      </c>
      <c r="AD585" s="6"/>
      <c r="AE585" t="s">
        <v>42</v>
      </c>
      <c r="AU585" s="6"/>
      <c r="AV585" t="s">
        <v>0</v>
      </c>
      <c r="GB585">
        <v>0</v>
      </c>
    </row>
    <row r="586" spans="1:184">
      <c r="A586">
        <v>1</v>
      </c>
      <c r="O586" s="6"/>
      <c r="P586">
        <v>3</v>
      </c>
      <c r="AD586" s="6"/>
      <c r="AE586" t="s">
        <v>42</v>
      </c>
      <c r="AU586" s="6"/>
      <c r="AV586" t="s">
        <v>0</v>
      </c>
      <c r="GB586">
        <v>0</v>
      </c>
    </row>
    <row r="587" spans="1:184">
      <c r="A587">
        <v>1</v>
      </c>
      <c r="O587" s="6"/>
      <c r="P587">
        <v>3</v>
      </c>
      <c r="AD587" s="6"/>
      <c r="AE587" t="s">
        <v>42</v>
      </c>
      <c r="AU587" s="6"/>
      <c r="AV587" t="s">
        <v>0</v>
      </c>
      <c r="GB587">
        <v>0</v>
      </c>
    </row>
    <row r="588" spans="1:184">
      <c r="A588">
        <v>1</v>
      </c>
      <c r="O588" s="6"/>
      <c r="P588">
        <v>3</v>
      </c>
      <c r="AD588" s="6"/>
      <c r="AE588" t="s">
        <v>42</v>
      </c>
      <c r="AU588" s="6"/>
      <c r="AV588" t="s">
        <v>0</v>
      </c>
      <c r="GB588">
        <v>0</v>
      </c>
    </row>
    <row r="589" spans="1:184">
      <c r="A589">
        <v>1</v>
      </c>
      <c r="O589" s="6"/>
      <c r="P589">
        <v>3</v>
      </c>
      <c r="AD589" s="6"/>
      <c r="AE589" t="s">
        <v>42</v>
      </c>
      <c r="AU589" s="6"/>
      <c r="AV589" t="s">
        <v>0</v>
      </c>
      <c r="GB589">
        <v>0</v>
      </c>
    </row>
    <row r="590" spans="1:184">
      <c r="A590">
        <v>1</v>
      </c>
      <c r="O590" s="6"/>
      <c r="P590">
        <v>3</v>
      </c>
      <c r="AD590" s="6"/>
      <c r="AE590" t="s">
        <v>42</v>
      </c>
      <c r="AU590" s="6"/>
      <c r="AV590" t="s">
        <v>0</v>
      </c>
      <c r="GB590">
        <v>0</v>
      </c>
    </row>
    <row r="591" spans="1:184">
      <c r="A591">
        <v>1</v>
      </c>
      <c r="O591" s="6"/>
      <c r="P591">
        <v>3</v>
      </c>
      <c r="AD591" s="6"/>
      <c r="AE591" t="s">
        <v>42</v>
      </c>
      <c r="AU591" s="6"/>
      <c r="AV591" t="s">
        <v>0</v>
      </c>
      <c r="GB591">
        <v>0</v>
      </c>
    </row>
    <row r="592" spans="1:184">
      <c r="A592">
        <v>1</v>
      </c>
      <c r="O592" s="6"/>
      <c r="P592">
        <v>3</v>
      </c>
      <c r="AD592" s="6"/>
      <c r="AE592" t="s">
        <v>42</v>
      </c>
      <c r="AU592" s="6"/>
      <c r="AV592" t="s">
        <v>0</v>
      </c>
      <c r="GB592">
        <v>0</v>
      </c>
    </row>
    <row r="593" spans="1:184">
      <c r="A593">
        <v>1</v>
      </c>
      <c r="O593" s="6"/>
      <c r="P593">
        <v>3</v>
      </c>
      <c r="AD593" s="6"/>
      <c r="AE593" t="s">
        <v>42</v>
      </c>
      <c r="AU593" s="6"/>
      <c r="AV593" t="s">
        <v>0</v>
      </c>
      <c r="GB593">
        <v>0</v>
      </c>
    </row>
    <row r="594" spans="1:184">
      <c r="A594">
        <v>1</v>
      </c>
      <c r="O594" s="6"/>
      <c r="P594">
        <v>3</v>
      </c>
      <c r="AD594" s="6"/>
      <c r="AE594" t="s">
        <v>42</v>
      </c>
      <c r="AU594" s="6"/>
      <c r="AV594" t="s">
        <v>0</v>
      </c>
      <c r="GB594">
        <v>0</v>
      </c>
    </row>
    <row r="595" spans="1:184">
      <c r="A595">
        <v>1</v>
      </c>
      <c r="O595" s="6"/>
      <c r="P595">
        <v>3</v>
      </c>
      <c r="AD595" s="6"/>
      <c r="AE595" t="s">
        <v>42</v>
      </c>
      <c r="AU595" s="6"/>
      <c r="AV595" t="s">
        <v>0</v>
      </c>
      <c r="GB595">
        <v>0</v>
      </c>
    </row>
    <row r="596" spans="1:184">
      <c r="A596">
        <v>1</v>
      </c>
      <c r="O596" s="6"/>
      <c r="P596">
        <v>3</v>
      </c>
      <c r="AD596" s="6"/>
      <c r="AE596" t="s">
        <v>42</v>
      </c>
      <c r="AU596" s="6"/>
      <c r="AV596" t="s">
        <v>0</v>
      </c>
      <c r="GB596">
        <v>0</v>
      </c>
    </row>
    <row r="597" spans="1:184">
      <c r="A597">
        <v>1</v>
      </c>
      <c r="O597" s="6"/>
      <c r="P597">
        <v>3</v>
      </c>
      <c r="AD597" s="6"/>
      <c r="AE597" t="s">
        <v>42</v>
      </c>
      <c r="AU597" s="6"/>
      <c r="AV597" t="s">
        <v>0</v>
      </c>
      <c r="GB597">
        <v>0</v>
      </c>
    </row>
    <row r="598" spans="1:184">
      <c r="A598">
        <v>1</v>
      </c>
      <c r="O598" s="6"/>
      <c r="P598">
        <v>3</v>
      </c>
      <c r="AD598" s="6"/>
      <c r="AE598" t="s">
        <v>42</v>
      </c>
      <c r="AU598" s="6"/>
      <c r="AV598" t="s">
        <v>0</v>
      </c>
      <c r="GB598">
        <v>0</v>
      </c>
    </row>
    <row r="599" spans="1:184">
      <c r="A599">
        <v>1</v>
      </c>
      <c r="O599" s="6"/>
      <c r="P599">
        <v>3</v>
      </c>
      <c r="AD599" s="6"/>
      <c r="AE599" t="s">
        <v>42</v>
      </c>
      <c r="AU599" s="6"/>
      <c r="AV599" t="s">
        <v>0</v>
      </c>
      <c r="GB599">
        <v>0</v>
      </c>
    </row>
    <row r="600" spans="1:184">
      <c r="A600">
        <v>1</v>
      </c>
      <c r="O600" s="6"/>
      <c r="P600">
        <v>3</v>
      </c>
      <c r="AD600" s="6"/>
      <c r="AE600" t="s">
        <v>42</v>
      </c>
      <c r="AU600" s="6"/>
      <c r="AV600" t="s">
        <v>0</v>
      </c>
      <c r="GB600">
        <v>0</v>
      </c>
    </row>
    <row r="601" spans="1:184">
      <c r="A601">
        <v>1</v>
      </c>
      <c r="O601" s="6"/>
      <c r="P601">
        <v>3</v>
      </c>
      <c r="AD601" s="6"/>
      <c r="AE601" t="s">
        <v>42</v>
      </c>
      <c r="AU601" s="6"/>
      <c r="AV601" t="s">
        <v>0</v>
      </c>
      <c r="GB601">
        <v>0</v>
      </c>
    </row>
    <row r="602" spans="1:184">
      <c r="A602">
        <v>1</v>
      </c>
      <c r="O602" s="6"/>
      <c r="P602">
        <v>3</v>
      </c>
      <c r="AD602" s="6"/>
      <c r="AE602" t="s">
        <v>42</v>
      </c>
      <c r="AU602" s="6"/>
      <c r="AV602" t="s">
        <v>0</v>
      </c>
      <c r="GB602">
        <v>0</v>
      </c>
    </row>
    <row r="603" spans="1:184">
      <c r="A603">
        <v>1</v>
      </c>
      <c r="O603" s="6"/>
      <c r="P603">
        <v>3</v>
      </c>
      <c r="AD603" s="6"/>
      <c r="AE603" t="s">
        <v>42</v>
      </c>
      <c r="AU603" s="6"/>
      <c r="AV603" t="s">
        <v>0</v>
      </c>
      <c r="GB603">
        <v>0</v>
      </c>
    </row>
    <row r="604" spans="1:184">
      <c r="A604">
        <v>1</v>
      </c>
      <c r="O604" s="6"/>
      <c r="P604">
        <v>3</v>
      </c>
      <c r="AD604" s="6"/>
      <c r="AE604" t="s">
        <v>42</v>
      </c>
      <c r="AU604" s="6"/>
      <c r="AV604" t="s">
        <v>0</v>
      </c>
      <c r="GB604">
        <v>0</v>
      </c>
    </row>
    <row r="605" spans="1:184">
      <c r="A605">
        <v>1</v>
      </c>
      <c r="O605" s="6"/>
      <c r="P605">
        <v>3</v>
      </c>
      <c r="AD605" s="6"/>
      <c r="AE605" t="s">
        <v>42</v>
      </c>
      <c r="AU605" s="6"/>
      <c r="AV605" t="s">
        <v>0</v>
      </c>
      <c r="GB605">
        <v>0</v>
      </c>
    </row>
    <row r="606" spans="1:184">
      <c r="A606">
        <v>1</v>
      </c>
      <c r="O606" s="6"/>
      <c r="P606">
        <v>3</v>
      </c>
      <c r="AD606" s="6"/>
      <c r="AE606" t="s">
        <v>42</v>
      </c>
      <c r="AU606" s="6"/>
      <c r="AV606" t="s">
        <v>0</v>
      </c>
      <c r="GB606">
        <v>0</v>
      </c>
    </row>
    <row r="607" spans="1:184">
      <c r="A607">
        <v>1</v>
      </c>
      <c r="O607" s="6"/>
      <c r="P607">
        <v>3</v>
      </c>
      <c r="AD607" s="6"/>
      <c r="AE607" t="s">
        <v>42</v>
      </c>
      <c r="AU607" s="6"/>
      <c r="AV607" t="s">
        <v>0</v>
      </c>
      <c r="GB607">
        <v>0</v>
      </c>
    </row>
    <row r="608" spans="1:184">
      <c r="A608">
        <v>1</v>
      </c>
      <c r="O608" s="6"/>
      <c r="P608">
        <v>3</v>
      </c>
      <c r="AD608" s="6"/>
      <c r="AE608" t="s">
        <v>42</v>
      </c>
      <c r="AU608" s="6"/>
      <c r="AV608" t="s">
        <v>0</v>
      </c>
      <c r="GB608">
        <v>0</v>
      </c>
    </row>
    <row r="609" spans="1:184">
      <c r="A609">
        <v>1</v>
      </c>
      <c r="O609" s="6"/>
      <c r="P609">
        <v>3</v>
      </c>
      <c r="AD609" s="6"/>
      <c r="AE609" t="s">
        <v>42</v>
      </c>
      <c r="AU609" s="6"/>
      <c r="AV609" t="s">
        <v>0</v>
      </c>
      <c r="GB609">
        <v>0</v>
      </c>
    </row>
    <row r="610" spans="1:184">
      <c r="A610">
        <v>1</v>
      </c>
      <c r="O610" s="6"/>
      <c r="P610">
        <v>3</v>
      </c>
      <c r="AD610" s="6"/>
      <c r="AE610" t="s">
        <v>42</v>
      </c>
      <c r="AU610" s="6"/>
      <c r="AV610" t="s">
        <v>0</v>
      </c>
      <c r="GB610">
        <v>0</v>
      </c>
    </row>
    <row r="611" spans="1:184">
      <c r="A611">
        <v>1</v>
      </c>
      <c r="O611" s="6"/>
      <c r="P611">
        <v>3</v>
      </c>
      <c r="AD611" s="6"/>
      <c r="AE611" t="s">
        <v>42</v>
      </c>
      <c r="AU611" s="6"/>
      <c r="AV611" t="s">
        <v>0</v>
      </c>
      <c r="GB611">
        <v>0</v>
      </c>
    </row>
    <row r="612" spans="1:184">
      <c r="A612">
        <v>1</v>
      </c>
      <c r="O612" s="6"/>
      <c r="P612">
        <v>3</v>
      </c>
      <c r="AD612" s="6"/>
      <c r="AE612" t="s">
        <v>42</v>
      </c>
      <c r="AU612" s="6"/>
      <c r="AV612" t="s">
        <v>0</v>
      </c>
      <c r="GB612">
        <v>0</v>
      </c>
    </row>
    <row r="613" spans="1:184">
      <c r="A613">
        <v>1</v>
      </c>
      <c r="O613" s="6"/>
      <c r="P613">
        <v>3</v>
      </c>
      <c r="AD613" s="6"/>
      <c r="AE613" t="s">
        <v>42</v>
      </c>
      <c r="AU613" s="6"/>
      <c r="AV613" t="s">
        <v>0</v>
      </c>
      <c r="GB613">
        <v>0</v>
      </c>
    </row>
    <row r="614" spans="1:184">
      <c r="A614">
        <v>1</v>
      </c>
      <c r="O614" s="6"/>
      <c r="P614">
        <v>3</v>
      </c>
      <c r="AD614" s="6"/>
      <c r="AE614" t="s">
        <v>42</v>
      </c>
      <c r="AU614" s="6"/>
      <c r="AV614" t="s">
        <v>0</v>
      </c>
      <c r="GB614">
        <v>0</v>
      </c>
    </row>
    <row r="615" spans="1:184">
      <c r="A615">
        <v>1</v>
      </c>
      <c r="O615" s="6"/>
      <c r="P615">
        <v>3</v>
      </c>
      <c r="AD615" s="6"/>
      <c r="AE615" t="s">
        <v>42</v>
      </c>
      <c r="AU615" s="6"/>
      <c r="AV615" t="s">
        <v>0</v>
      </c>
      <c r="GB615">
        <v>0</v>
      </c>
    </row>
    <row r="616" spans="1:184">
      <c r="A616">
        <v>1</v>
      </c>
      <c r="O616" s="6"/>
      <c r="P616">
        <v>3</v>
      </c>
      <c r="AD616" s="6"/>
      <c r="AE616" t="s">
        <v>42</v>
      </c>
      <c r="AU616" s="6"/>
      <c r="AV616" t="s">
        <v>0</v>
      </c>
      <c r="GB616">
        <v>0</v>
      </c>
    </row>
    <row r="617" spans="1:184">
      <c r="A617">
        <v>1</v>
      </c>
      <c r="O617" s="6"/>
      <c r="P617">
        <v>3</v>
      </c>
      <c r="AD617" s="6"/>
      <c r="AE617" t="s">
        <v>42</v>
      </c>
      <c r="AU617" s="6"/>
      <c r="AV617" t="s">
        <v>0</v>
      </c>
      <c r="GB617">
        <v>0</v>
      </c>
    </row>
    <row r="618" spans="1:184">
      <c r="A618">
        <v>1</v>
      </c>
      <c r="O618" s="6"/>
      <c r="P618">
        <v>3</v>
      </c>
      <c r="AD618" s="6"/>
      <c r="AE618" t="s">
        <v>42</v>
      </c>
      <c r="AU618" s="6"/>
      <c r="AV618" t="s">
        <v>0</v>
      </c>
      <c r="GB618">
        <v>0</v>
      </c>
    </row>
    <row r="619" spans="1:184">
      <c r="A619">
        <v>1</v>
      </c>
      <c r="O619" s="6"/>
      <c r="P619">
        <v>3</v>
      </c>
      <c r="AD619" s="6"/>
      <c r="AE619" t="s">
        <v>42</v>
      </c>
      <c r="AU619" s="6"/>
      <c r="AV619" t="s">
        <v>0</v>
      </c>
      <c r="GB619">
        <v>0</v>
      </c>
    </row>
    <row r="620" spans="1:184">
      <c r="A620">
        <v>1</v>
      </c>
      <c r="O620" s="6"/>
      <c r="P620">
        <v>3</v>
      </c>
      <c r="AD620" s="6"/>
      <c r="AE620" t="s">
        <v>42</v>
      </c>
      <c r="AU620" s="6"/>
      <c r="AV620" t="s">
        <v>0</v>
      </c>
      <c r="GB620">
        <v>0</v>
      </c>
    </row>
    <row r="621" spans="1:184">
      <c r="A621">
        <v>1</v>
      </c>
      <c r="O621" s="6"/>
      <c r="P621">
        <v>3</v>
      </c>
      <c r="AD621" s="6"/>
      <c r="AE621" t="s">
        <v>42</v>
      </c>
      <c r="AU621" s="6"/>
      <c r="AV621" t="s">
        <v>0</v>
      </c>
      <c r="GB621">
        <v>0</v>
      </c>
    </row>
    <row r="622" spans="1:184">
      <c r="A622">
        <v>1</v>
      </c>
      <c r="O622" s="6"/>
      <c r="P622">
        <v>3</v>
      </c>
      <c r="AD622" s="6"/>
      <c r="AE622" t="s">
        <v>42</v>
      </c>
      <c r="AU622" s="6"/>
      <c r="AV622" t="s">
        <v>0</v>
      </c>
      <c r="GB622">
        <v>0</v>
      </c>
    </row>
    <row r="623" spans="1:184">
      <c r="A623">
        <v>1</v>
      </c>
      <c r="O623" s="6"/>
      <c r="P623">
        <v>3</v>
      </c>
      <c r="AD623" s="6"/>
      <c r="AE623" t="s">
        <v>42</v>
      </c>
      <c r="AU623" s="6"/>
      <c r="AV623" t="s">
        <v>0</v>
      </c>
      <c r="GB623">
        <v>0</v>
      </c>
    </row>
    <row r="624" spans="1:184">
      <c r="A624">
        <v>1</v>
      </c>
      <c r="O624" s="6"/>
      <c r="P624">
        <v>3</v>
      </c>
      <c r="AD624" s="6"/>
      <c r="AE624" t="s">
        <v>42</v>
      </c>
      <c r="AU624" s="6"/>
      <c r="AV624" t="s">
        <v>0</v>
      </c>
      <c r="GB624">
        <v>0</v>
      </c>
    </row>
    <row r="625" spans="1:184">
      <c r="A625">
        <v>1</v>
      </c>
      <c r="O625" s="6"/>
      <c r="P625">
        <v>3</v>
      </c>
      <c r="AD625" s="6"/>
      <c r="AE625" t="s">
        <v>42</v>
      </c>
      <c r="AU625" s="6"/>
      <c r="AV625" t="s">
        <v>0</v>
      </c>
      <c r="GB625">
        <v>0</v>
      </c>
    </row>
    <row r="626" spans="1:184">
      <c r="A626">
        <v>1</v>
      </c>
      <c r="O626" s="6"/>
      <c r="P626">
        <v>3</v>
      </c>
      <c r="AD626" s="6"/>
      <c r="AE626" t="s">
        <v>42</v>
      </c>
      <c r="AU626" s="6"/>
      <c r="AV626" t="s">
        <v>0</v>
      </c>
      <c r="GB626">
        <v>0</v>
      </c>
    </row>
    <row r="627" spans="1:184">
      <c r="A627">
        <v>1</v>
      </c>
      <c r="O627" s="6"/>
      <c r="P627">
        <v>3</v>
      </c>
      <c r="AD627" s="6"/>
      <c r="AE627" t="s">
        <v>42</v>
      </c>
      <c r="AU627" s="6"/>
      <c r="AV627" t="s">
        <v>0</v>
      </c>
      <c r="GB627">
        <v>0</v>
      </c>
    </row>
    <row r="628" spans="1:184">
      <c r="A628">
        <v>1</v>
      </c>
      <c r="O628" s="6"/>
      <c r="P628">
        <v>3</v>
      </c>
      <c r="AD628" s="6"/>
      <c r="AE628" t="s">
        <v>42</v>
      </c>
      <c r="AU628" s="6"/>
      <c r="AV628" t="s">
        <v>0</v>
      </c>
      <c r="GB628">
        <v>0</v>
      </c>
    </row>
    <row r="629" spans="1:184">
      <c r="A629">
        <v>1</v>
      </c>
      <c r="O629" s="6"/>
      <c r="P629">
        <v>3</v>
      </c>
      <c r="AD629" s="6"/>
      <c r="AE629" t="s">
        <v>42</v>
      </c>
      <c r="AU629" s="6"/>
      <c r="AV629" t="s">
        <v>0</v>
      </c>
      <c r="GB629">
        <v>0</v>
      </c>
    </row>
    <row r="630" spans="1:184">
      <c r="A630">
        <v>1</v>
      </c>
      <c r="O630" s="6"/>
      <c r="P630">
        <v>3</v>
      </c>
      <c r="AD630" s="6"/>
      <c r="AE630" t="s">
        <v>42</v>
      </c>
      <c r="AU630" s="6"/>
      <c r="AV630" t="s">
        <v>0</v>
      </c>
      <c r="GB630">
        <v>0</v>
      </c>
    </row>
    <row r="631" spans="1:184">
      <c r="A631">
        <v>1</v>
      </c>
      <c r="O631" s="6"/>
      <c r="P631">
        <v>3</v>
      </c>
      <c r="AD631" s="6"/>
      <c r="AE631" t="s">
        <v>42</v>
      </c>
      <c r="AU631" s="6"/>
      <c r="AV631" t="s">
        <v>0</v>
      </c>
      <c r="GB631">
        <v>0</v>
      </c>
    </row>
    <row r="632" spans="1:184">
      <c r="A632">
        <v>1</v>
      </c>
      <c r="O632" s="6"/>
      <c r="P632">
        <v>3</v>
      </c>
      <c r="AD632" s="6"/>
      <c r="AE632" t="s">
        <v>42</v>
      </c>
      <c r="AU632" s="6"/>
      <c r="AV632" t="s">
        <v>0</v>
      </c>
      <c r="GB632">
        <v>0</v>
      </c>
    </row>
    <row r="633" spans="1:184">
      <c r="A633">
        <v>1</v>
      </c>
      <c r="O633" s="6"/>
      <c r="P633">
        <v>3</v>
      </c>
      <c r="AD633" s="6"/>
      <c r="AE633" t="s">
        <v>42</v>
      </c>
      <c r="AU633" s="6"/>
      <c r="AV633" t="s">
        <v>0</v>
      </c>
      <c r="GB633">
        <v>0</v>
      </c>
    </row>
    <row r="634" spans="1:184">
      <c r="A634">
        <v>1</v>
      </c>
      <c r="O634" s="6"/>
      <c r="P634">
        <v>3</v>
      </c>
      <c r="AD634" s="6"/>
      <c r="AE634" t="s">
        <v>42</v>
      </c>
      <c r="AU634" s="6"/>
      <c r="AV634" t="s">
        <v>0</v>
      </c>
      <c r="GB634">
        <v>0</v>
      </c>
    </row>
    <row r="635" spans="1:184">
      <c r="A635">
        <v>1</v>
      </c>
      <c r="O635" s="6"/>
      <c r="P635">
        <v>3</v>
      </c>
      <c r="AD635" s="6"/>
      <c r="AE635" t="s">
        <v>42</v>
      </c>
      <c r="AU635" s="6"/>
      <c r="AV635" t="s">
        <v>0</v>
      </c>
      <c r="GB635">
        <v>0</v>
      </c>
    </row>
    <row r="636" spans="1:184">
      <c r="A636">
        <v>1</v>
      </c>
      <c r="O636" s="6"/>
      <c r="P636">
        <v>3</v>
      </c>
      <c r="AD636" s="6"/>
      <c r="AE636" t="s">
        <v>42</v>
      </c>
      <c r="AU636" s="6"/>
      <c r="AV636" t="s">
        <v>0</v>
      </c>
      <c r="GB636">
        <v>0</v>
      </c>
    </row>
    <row r="637" spans="1:184">
      <c r="A637">
        <v>1</v>
      </c>
      <c r="O637" s="6"/>
      <c r="P637">
        <v>3</v>
      </c>
      <c r="AD637" s="6"/>
      <c r="AE637" t="s">
        <v>42</v>
      </c>
      <c r="AU637" s="6"/>
      <c r="AV637" t="s">
        <v>0</v>
      </c>
      <c r="GB637">
        <v>0</v>
      </c>
    </row>
    <row r="638" spans="1:184">
      <c r="A638">
        <v>1</v>
      </c>
      <c r="O638" s="6"/>
      <c r="P638">
        <v>3</v>
      </c>
      <c r="AD638" s="6"/>
      <c r="AE638" t="s">
        <v>42</v>
      </c>
      <c r="AU638" s="6"/>
      <c r="AV638" t="s">
        <v>0</v>
      </c>
      <c r="GB638">
        <v>0</v>
      </c>
    </row>
    <row r="639" spans="1:184">
      <c r="A639">
        <v>1</v>
      </c>
      <c r="O639" s="6"/>
      <c r="P639">
        <v>3</v>
      </c>
      <c r="AD639" s="6"/>
      <c r="AE639" t="s">
        <v>42</v>
      </c>
      <c r="AU639" s="6"/>
      <c r="AV639" t="s">
        <v>0</v>
      </c>
      <c r="GB639">
        <v>0</v>
      </c>
    </row>
    <row r="640" spans="1:184">
      <c r="A640">
        <v>1</v>
      </c>
      <c r="O640" s="6"/>
      <c r="P640">
        <v>3</v>
      </c>
      <c r="AD640" s="6"/>
      <c r="AE640" t="s">
        <v>42</v>
      </c>
      <c r="AU640" s="6"/>
      <c r="AV640" t="s">
        <v>0</v>
      </c>
      <c r="GB640">
        <v>0</v>
      </c>
    </row>
    <row r="641" spans="1:184">
      <c r="A641">
        <v>1</v>
      </c>
      <c r="O641" s="6"/>
      <c r="P641">
        <v>3</v>
      </c>
      <c r="AD641" s="6"/>
      <c r="AE641" t="s">
        <v>42</v>
      </c>
      <c r="AU641" s="6"/>
      <c r="AV641" t="s">
        <v>0</v>
      </c>
      <c r="GB641">
        <v>0</v>
      </c>
    </row>
    <row r="642" spans="1:184">
      <c r="A642">
        <v>1</v>
      </c>
      <c r="O642" s="6"/>
      <c r="P642">
        <v>3</v>
      </c>
      <c r="AD642" s="6"/>
      <c r="AE642" t="s">
        <v>42</v>
      </c>
      <c r="AU642" s="6"/>
      <c r="AV642" t="s">
        <v>0</v>
      </c>
      <c r="GB642">
        <v>0</v>
      </c>
    </row>
    <row r="643" spans="1:184">
      <c r="A643">
        <v>1</v>
      </c>
      <c r="O643" s="6"/>
      <c r="P643">
        <v>3</v>
      </c>
      <c r="AD643" s="6"/>
      <c r="AE643" t="s">
        <v>42</v>
      </c>
      <c r="AU643" s="6"/>
      <c r="AV643" t="s">
        <v>0</v>
      </c>
      <c r="GB643">
        <v>0</v>
      </c>
    </row>
    <row r="644" spans="1:184">
      <c r="A644">
        <v>1</v>
      </c>
      <c r="O644" s="6"/>
      <c r="P644">
        <v>3</v>
      </c>
      <c r="AD644" s="6"/>
      <c r="AE644" t="s">
        <v>42</v>
      </c>
      <c r="AU644" s="6"/>
      <c r="AV644" t="s">
        <v>0</v>
      </c>
      <c r="GB644">
        <v>0</v>
      </c>
    </row>
    <row r="645" spans="1:184">
      <c r="A645">
        <v>1</v>
      </c>
      <c r="O645" s="6"/>
      <c r="P645">
        <v>3</v>
      </c>
      <c r="AD645" s="6"/>
      <c r="AE645" t="s">
        <v>42</v>
      </c>
      <c r="AU645" s="6"/>
      <c r="AV645" t="s">
        <v>0</v>
      </c>
      <c r="GB645">
        <v>0</v>
      </c>
    </row>
    <row r="646" spans="1:184">
      <c r="A646">
        <v>1</v>
      </c>
      <c r="O646" s="6"/>
      <c r="P646">
        <v>3</v>
      </c>
      <c r="AD646" s="6"/>
      <c r="AE646" t="s">
        <v>42</v>
      </c>
      <c r="AU646" s="6"/>
      <c r="AV646" t="s">
        <v>0</v>
      </c>
      <c r="GB646">
        <v>0</v>
      </c>
    </row>
    <row r="647" spans="1:184">
      <c r="A647">
        <v>1</v>
      </c>
      <c r="O647" s="6"/>
      <c r="P647">
        <v>3</v>
      </c>
      <c r="AD647" s="6"/>
      <c r="AE647" t="s">
        <v>42</v>
      </c>
      <c r="AU647" s="6"/>
      <c r="AV647" t="s">
        <v>0</v>
      </c>
      <c r="GB647">
        <v>0</v>
      </c>
    </row>
    <row r="648" spans="1:184">
      <c r="A648">
        <v>1</v>
      </c>
      <c r="O648" s="6"/>
      <c r="P648">
        <v>3</v>
      </c>
      <c r="AD648" s="6"/>
      <c r="AE648" t="s">
        <v>42</v>
      </c>
      <c r="AU648" s="6"/>
      <c r="AV648" t="s">
        <v>0</v>
      </c>
      <c r="GB648">
        <v>0</v>
      </c>
    </row>
    <row r="649" spans="1:184">
      <c r="A649">
        <v>1</v>
      </c>
      <c r="O649" s="6"/>
      <c r="P649">
        <v>3</v>
      </c>
      <c r="AD649" s="6"/>
      <c r="AE649" t="s">
        <v>42</v>
      </c>
      <c r="AU649" s="6"/>
      <c r="AV649" t="s">
        <v>0</v>
      </c>
      <c r="GB649">
        <v>0</v>
      </c>
    </row>
    <row r="650" spans="1:184">
      <c r="A650">
        <v>1</v>
      </c>
      <c r="O650" s="6"/>
      <c r="P650">
        <v>3</v>
      </c>
      <c r="AD650" s="6"/>
      <c r="AE650" t="s">
        <v>42</v>
      </c>
      <c r="AU650" s="6"/>
      <c r="AV650" t="s">
        <v>0</v>
      </c>
      <c r="GB650">
        <v>0</v>
      </c>
    </row>
    <row r="651" spans="1:184">
      <c r="A651">
        <v>1</v>
      </c>
      <c r="O651" s="6"/>
      <c r="P651">
        <v>3</v>
      </c>
      <c r="AD651" s="6"/>
      <c r="AE651" t="s">
        <v>42</v>
      </c>
      <c r="AU651" s="6"/>
      <c r="AV651" t="s">
        <v>0</v>
      </c>
      <c r="GB651">
        <v>0</v>
      </c>
    </row>
    <row r="652" spans="1:184">
      <c r="A652">
        <v>1</v>
      </c>
      <c r="O652" s="6"/>
      <c r="P652">
        <v>3</v>
      </c>
      <c r="AD652" s="6"/>
      <c r="AE652" t="s">
        <v>42</v>
      </c>
      <c r="AU652" s="6"/>
      <c r="AV652" t="s">
        <v>0</v>
      </c>
      <c r="GB652">
        <v>0</v>
      </c>
    </row>
    <row r="653" spans="1:184">
      <c r="A653">
        <v>1</v>
      </c>
      <c r="O653" s="6"/>
      <c r="P653">
        <v>3</v>
      </c>
      <c r="AD653" s="6"/>
      <c r="AE653" t="s">
        <v>42</v>
      </c>
      <c r="AU653" s="6"/>
      <c r="AV653" t="s">
        <v>0</v>
      </c>
      <c r="GB653">
        <v>0</v>
      </c>
    </row>
    <row r="654" spans="1:184">
      <c r="A654">
        <v>1</v>
      </c>
      <c r="O654" s="6"/>
      <c r="P654">
        <v>3</v>
      </c>
      <c r="AD654" s="6"/>
      <c r="AE654" t="s">
        <v>42</v>
      </c>
      <c r="AU654" s="6"/>
      <c r="AV654" t="s">
        <v>0</v>
      </c>
      <c r="GB654">
        <v>0</v>
      </c>
    </row>
    <row r="655" spans="1:184">
      <c r="A655">
        <v>1</v>
      </c>
      <c r="O655" s="6"/>
      <c r="P655">
        <v>3</v>
      </c>
      <c r="AD655" s="6"/>
      <c r="AE655" t="s">
        <v>42</v>
      </c>
      <c r="AU655" s="6"/>
      <c r="AV655" t="s">
        <v>0</v>
      </c>
      <c r="GB655">
        <v>0</v>
      </c>
    </row>
    <row r="656" spans="1:184">
      <c r="A656">
        <v>1</v>
      </c>
      <c r="O656" s="6"/>
      <c r="P656">
        <v>3</v>
      </c>
      <c r="AD656" s="6"/>
      <c r="AE656" t="s">
        <v>42</v>
      </c>
      <c r="AU656" s="6"/>
      <c r="AV656" t="s">
        <v>0</v>
      </c>
      <c r="GB656">
        <v>0</v>
      </c>
    </row>
    <row r="657" spans="1:184">
      <c r="A657">
        <v>1</v>
      </c>
      <c r="O657" s="6"/>
      <c r="P657">
        <v>3</v>
      </c>
      <c r="AD657" s="6"/>
      <c r="AE657" t="s">
        <v>42</v>
      </c>
      <c r="AU657" s="6"/>
      <c r="AV657" t="s">
        <v>0</v>
      </c>
      <c r="GB657">
        <v>0</v>
      </c>
    </row>
    <row r="658" spans="1:184">
      <c r="A658">
        <v>1</v>
      </c>
      <c r="O658" s="6"/>
      <c r="P658">
        <v>3</v>
      </c>
      <c r="AD658" s="6"/>
      <c r="AE658" t="s">
        <v>42</v>
      </c>
      <c r="AU658" s="6"/>
      <c r="AV658" t="s">
        <v>0</v>
      </c>
      <c r="GB658">
        <v>0</v>
      </c>
    </row>
    <row r="659" spans="1:184">
      <c r="A659">
        <v>1</v>
      </c>
      <c r="O659" s="6"/>
      <c r="P659">
        <v>3</v>
      </c>
      <c r="AD659" s="6"/>
      <c r="AE659" t="s">
        <v>42</v>
      </c>
      <c r="AU659" s="6"/>
      <c r="AV659" t="s">
        <v>0</v>
      </c>
      <c r="GB659">
        <v>0</v>
      </c>
    </row>
    <row r="660" spans="1:184">
      <c r="A660">
        <v>1</v>
      </c>
      <c r="O660" s="6"/>
      <c r="P660">
        <v>3</v>
      </c>
      <c r="AD660" s="6"/>
      <c r="AE660" t="s">
        <v>42</v>
      </c>
      <c r="AU660" s="6"/>
      <c r="AV660" t="s">
        <v>0</v>
      </c>
      <c r="GB660">
        <v>0</v>
      </c>
    </row>
    <row r="661" spans="1:184">
      <c r="A661">
        <v>1</v>
      </c>
      <c r="O661" s="6"/>
      <c r="P661">
        <v>3</v>
      </c>
      <c r="AD661" s="6"/>
      <c r="AE661" t="s">
        <v>42</v>
      </c>
      <c r="AU661" s="6"/>
      <c r="AV661" t="s">
        <v>0</v>
      </c>
      <c r="GB661">
        <v>0</v>
      </c>
    </row>
    <row r="662" spans="1:184">
      <c r="A662">
        <v>1</v>
      </c>
      <c r="O662" s="6"/>
      <c r="P662">
        <v>3</v>
      </c>
      <c r="AD662" s="6"/>
      <c r="AE662" t="s">
        <v>42</v>
      </c>
      <c r="AU662" s="6"/>
      <c r="AV662" t="s">
        <v>0</v>
      </c>
      <c r="GB662">
        <v>0</v>
      </c>
    </row>
    <row r="663" spans="1:184">
      <c r="A663">
        <v>1</v>
      </c>
      <c r="O663" s="6"/>
      <c r="P663">
        <v>3</v>
      </c>
      <c r="AD663" s="6"/>
      <c r="AE663" t="s">
        <v>42</v>
      </c>
      <c r="AU663" s="6"/>
      <c r="AV663" t="s">
        <v>0</v>
      </c>
      <c r="GB663">
        <v>0</v>
      </c>
    </row>
    <row r="664" spans="1:184">
      <c r="A664">
        <v>1</v>
      </c>
      <c r="O664" s="6"/>
      <c r="P664">
        <v>3</v>
      </c>
      <c r="AD664" s="6"/>
      <c r="AE664" t="s">
        <v>42</v>
      </c>
      <c r="AU664" s="6"/>
      <c r="AV664" t="s">
        <v>0</v>
      </c>
      <c r="GB664">
        <v>0</v>
      </c>
    </row>
    <row r="665" spans="1:184">
      <c r="A665">
        <v>1</v>
      </c>
      <c r="O665" s="6"/>
      <c r="P665">
        <v>3</v>
      </c>
      <c r="AD665" s="6"/>
      <c r="AE665" t="s">
        <v>42</v>
      </c>
      <c r="AU665" s="6"/>
      <c r="AV665" t="s">
        <v>0</v>
      </c>
      <c r="GB665">
        <v>0</v>
      </c>
    </row>
    <row r="666" spans="1:184">
      <c r="A666">
        <v>1</v>
      </c>
      <c r="O666" s="6"/>
      <c r="P666">
        <v>3</v>
      </c>
      <c r="AD666" s="6"/>
      <c r="AE666" t="s">
        <v>42</v>
      </c>
      <c r="AU666" s="6"/>
      <c r="AV666" t="s">
        <v>0</v>
      </c>
      <c r="GB666">
        <v>0</v>
      </c>
    </row>
    <row r="667" spans="1:184">
      <c r="A667">
        <v>1</v>
      </c>
      <c r="O667" s="6"/>
      <c r="P667">
        <v>3</v>
      </c>
      <c r="AD667" s="6"/>
      <c r="AE667" t="s">
        <v>42</v>
      </c>
      <c r="AU667" s="6"/>
      <c r="AV667" t="s">
        <v>0</v>
      </c>
      <c r="GB667">
        <v>0</v>
      </c>
    </row>
    <row r="668" spans="1:184">
      <c r="A668">
        <v>1</v>
      </c>
      <c r="O668" s="6"/>
      <c r="P668">
        <v>3</v>
      </c>
      <c r="AD668" s="6"/>
      <c r="AE668" t="s">
        <v>42</v>
      </c>
      <c r="AU668" s="6"/>
      <c r="AV668" t="s">
        <v>0</v>
      </c>
      <c r="GB668">
        <v>0</v>
      </c>
    </row>
    <row r="669" spans="1:184">
      <c r="A669">
        <v>1</v>
      </c>
      <c r="O669" s="6"/>
      <c r="P669">
        <v>3</v>
      </c>
      <c r="AD669" s="6"/>
      <c r="AE669" t="s">
        <v>42</v>
      </c>
      <c r="AU669" s="6"/>
      <c r="AV669" t="s">
        <v>0</v>
      </c>
      <c r="GB669">
        <v>0</v>
      </c>
    </row>
    <row r="670" spans="1:184">
      <c r="A670">
        <v>1</v>
      </c>
      <c r="O670" s="6"/>
      <c r="P670">
        <v>3</v>
      </c>
      <c r="AD670" s="6"/>
      <c r="AE670" t="s">
        <v>42</v>
      </c>
      <c r="AU670" s="6"/>
      <c r="AV670" t="s">
        <v>0</v>
      </c>
      <c r="GB670">
        <v>0</v>
      </c>
    </row>
    <row r="671" spans="1:184">
      <c r="A671">
        <v>1</v>
      </c>
      <c r="O671" s="6"/>
      <c r="P671">
        <v>3</v>
      </c>
      <c r="AD671" s="6"/>
      <c r="AE671" t="s">
        <v>42</v>
      </c>
      <c r="AU671" s="6"/>
      <c r="AV671" t="s">
        <v>0</v>
      </c>
      <c r="GB671">
        <v>0</v>
      </c>
    </row>
    <row r="672" spans="1:184">
      <c r="A672">
        <v>1</v>
      </c>
      <c r="O672" s="6"/>
      <c r="P672">
        <v>3</v>
      </c>
      <c r="AD672" s="6"/>
      <c r="AE672" t="s">
        <v>42</v>
      </c>
      <c r="AU672" s="6"/>
      <c r="AV672" t="s">
        <v>0</v>
      </c>
      <c r="GB672">
        <v>0</v>
      </c>
    </row>
    <row r="673" spans="1:184">
      <c r="A673">
        <v>1</v>
      </c>
      <c r="O673" s="6"/>
      <c r="P673">
        <v>3</v>
      </c>
      <c r="AD673" s="6"/>
      <c r="AE673" t="s">
        <v>42</v>
      </c>
      <c r="AU673" s="6"/>
      <c r="AV673" t="s">
        <v>0</v>
      </c>
      <c r="GB673">
        <v>0</v>
      </c>
    </row>
    <row r="674" spans="1:184">
      <c r="A674">
        <v>1</v>
      </c>
      <c r="O674" s="6"/>
      <c r="P674">
        <v>3</v>
      </c>
      <c r="AD674" s="6"/>
      <c r="AE674" t="s">
        <v>42</v>
      </c>
      <c r="AU674" s="6"/>
      <c r="AV674" t="s">
        <v>0</v>
      </c>
      <c r="GB674">
        <v>0</v>
      </c>
    </row>
    <row r="675" spans="1:184">
      <c r="A675">
        <v>1</v>
      </c>
      <c r="O675" s="6"/>
      <c r="P675">
        <v>3</v>
      </c>
      <c r="AD675" s="6"/>
      <c r="AE675" t="s">
        <v>42</v>
      </c>
      <c r="AU675" s="6"/>
      <c r="AV675" t="s">
        <v>0</v>
      </c>
      <c r="GB675">
        <v>0</v>
      </c>
    </row>
    <row r="676" spans="1:184">
      <c r="A676">
        <v>1</v>
      </c>
      <c r="O676" s="6"/>
      <c r="P676">
        <v>3</v>
      </c>
      <c r="AD676" s="6"/>
      <c r="AE676" t="s">
        <v>42</v>
      </c>
      <c r="AU676" s="6"/>
      <c r="AV676" t="s">
        <v>0</v>
      </c>
      <c r="GB676">
        <v>0</v>
      </c>
    </row>
    <row r="677" spans="1:184">
      <c r="A677">
        <v>1</v>
      </c>
      <c r="O677" s="6"/>
      <c r="P677">
        <v>3</v>
      </c>
      <c r="AD677" s="6"/>
      <c r="AE677" t="s">
        <v>42</v>
      </c>
      <c r="AU677" s="6"/>
      <c r="AV677" t="s">
        <v>0</v>
      </c>
      <c r="GB677">
        <v>0</v>
      </c>
    </row>
    <row r="678" spans="1:184">
      <c r="A678">
        <v>1</v>
      </c>
      <c r="O678" s="6"/>
      <c r="P678">
        <v>3</v>
      </c>
      <c r="AD678" s="6"/>
      <c r="AE678" t="s">
        <v>42</v>
      </c>
      <c r="AU678" s="6"/>
      <c r="AV678" t="s">
        <v>0</v>
      </c>
      <c r="GB678">
        <v>1</v>
      </c>
    </row>
    <row r="679" spans="1:184">
      <c r="A679">
        <v>1</v>
      </c>
      <c r="O679" s="6"/>
      <c r="P679">
        <v>3</v>
      </c>
      <c r="AD679" s="6"/>
      <c r="AE679" t="s">
        <v>42</v>
      </c>
      <c r="AU679" s="6"/>
      <c r="AV679" t="s">
        <v>0</v>
      </c>
      <c r="GB679">
        <v>1</v>
      </c>
    </row>
    <row r="680" spans="1:184">
      <c r="A680">
        <v>1</v>
      </c>
      <c r="O680" s="6"/>
      <c r="P680">
        <v>3</v>
      </c>
      <c r="AD680" s="6"/>
      <c r="AE680" t="s">
        <v>42</v>
      </c>
      <c r="AU680" s="6"/>
      <c r="AV680" t="s">
        <v>0</v>
      </c>
      <c r="GB680">
        <v>1</v>
      </c>
    </row>
    <row r="681" spans="1:184">
      <c r="A681">
        <v>1</v>
      </c>
      <c r="O681" s="6"/>
      <c r="P681">
        <v>3</v>
      </c>
      <c r="AD681" s="6"/>
      <c r="AE681" t="s">
        <v>42</v>
      </c>
      <c r="AU681" s="6"/>
      <c r="AV681" t="s">
        <v>0</v>
      </c>
      <c r="GB681">
        <v>1</v>
      </c>
    </row>
    <row r="682" spans="1:184">
      <c r="A682">
        <v>1</v>
      </c>
      <c r="O682" s="6"/>
      <c r="P682">
        <v>3</v>
      </c>
      <c r="AD682" s="6"/>
      <c r="AE682" t="s">
        <v>42</v>
      </c>
      <c r="AU682" s="6"/>
      <c r="AV682" t="s">
        <v>0</v>
      </c>
      <c r="GB682">
        <v>1</v>
      </c>
    </row>
    <row r="683" spans="1:184">
      <c r="A683">
        <v>1</v>
      </c>
      <c r="O683" s="6"/>
      <c r="P683">
        <v>3</v>
      </c>
      <c r="AD683" s="6"/>
      <c r="AE683" t="s">
        <v>42</v>
      </c>
      <c r="AU683" s="6"/>
      <c r="AV683" t="s">
        <v>0</v>
      </c>
      <c r="GB683">
        <v>1</v>
      </c>
    </row>
    <row r="684" spans="1:184">
      <c r="A684">
        <v>1</v>
      </c>
      <c r="O684" s="6"/>
      <c r="P684">
        <v>3</v>
      </c>
      <c r="AD684" s="6"/>
      <c r="AE684" t="s">
        <v>42</v>
      </c>
      <c r="AU684" s="6"/>
      <c r="AV684" t="s">
        <v>0</v>
      </c>
      <c r="GB684">
        <v>1</v>
      </c>
    </row>
    <row r="685" spans="1:184">
      <c r="A685">
        <v>1</v>
      </c>
      <c r="O685" s="6"/>
      <c r="P685">
        <v>3</v>
      </c>
      <c r="AD685" s="6"/>
      <c r="AE685" t="s">
        <v>42</v>
      </c>
      <c r="AU685" s="6"/>
      <c r="AV685" t="s">
        <v>0</v>
      </c>
      <c r="GB685">
        <v>1</v>
      </c>
    </row>
    <row r="686" spans="1:184">
      <c r="A686">
        <v>1</v>
      </c>
      <c r="O686" s="6"/>
      <c r="P686">
        <v>3</v>
      </c>
      <c r="AD686" s="6"/>
      <c r="AE686" t="s">
        <v>42</v>
      </c>
      <c r="AU686" s="6"/>
      <c r="AV686" t="s">
        <v>0</v>
      </c>
      <c r="GB686">
        <v>1</v>
      </c>
    </row>
    <row r="687" spans="1:184">
      <c r="A687">
        <v>1</v>
      </c>
      <c r="O687" s="6"/>
      <c r="P687">
        <v>3</v>
      </c>
      <c r="AD687" s="6"/>
      <c r="AE687" t="s">
        <v>42</v>
      </c>
      <c r="AU687" s="6"/>
      <c r="AV687" t="s">
        <v>0</v>
      </c>
      <c r="GB687">
        <v>1</v>
      </c>
    </row>
    <row r="688" spans="1:184">
      <c r="A688">
        <v>1</v>
      </c>
      <c r="O688" s="6"/>
      <c r="P688">
        <v>3</v>
      </c>
      <c r="AD688" s="6"/>
      <c r="AE688" t="s">
        <v>42</v>
      </c>
      <c r="AU688" s="6"/>
      <c r="AV688" t="s">
        <v>0</v>
      </c>
      <c r="GB688">
        <v>1</v>
      </c>
    </row>
    <row r="689" spans="1:184">
      <c r="A689">
        <v>1</v>
      </c>
      <c r="O689" s="6"/>
      <c r="P689">
        <v>3</v>
      </c>
      <c r="AD689" s="6"/>
      <c r="AE689" t="s">
        <v>42</v>
      </c>
      <c r="AU689" s="6"/>
      <c r="AV689" t="s">
        <v>0</v>
      </c>
      <c r="GB689">
        <v>1</v>
      </c>
    </row>
    <row r="690" spans="1:184">
      <c r="A690">
        <v>1</v>
      </c>
      <c r="O690" s="6"/>
      <c r="P690">
        <v>3</v>
      </c>
      <c r="AD690" s="6"/>
      <c r="AE690" t="s">
        <v>42</v>
      </c>
      <c r="AU690" s="6"/>
      <c r="AV690" t="s">
        <v>0</v>
      </c>
      <c r="GB690">
        <v>1</v>
      </c>
    </row>
    <row r="691" spans="1:184">
      <c r="A691">
        <v>1</v>
      </c>
      <c r="O691" s="6"/>
      <c r="P691">
        <v>3</v>
      </c>
      <c r="AD691" s="6"/>
      <c r="AE691" t="s">
        <v>42</v>
      </c>
      <c r="AU691" s="6"/>
      <c r="AV691" t="s">
        <v>0</v>
      </c>
      <c r="GB691">
        <v>1</v>
      </c>
    </row>
    <row r="692" spans="1:184">
      <c r="A692">
        <v>1</v>
      </c>
      <c r="O692" s="6"/>
      <c r="P692">
        <v>3</v>
      </c>
      <c r="AD692" s="6"/>
      <c r="AE692" t="s">
        <v>42</v>
      </c>
      <c r="AU692" s="6"/>
      <c r="AV692" t="s">
        <v>0</v>
      </c>
      <c r="GB692">
        <v>1</v>
      </c>
    </row>
    <row r="693" spans="1:184">
      <c r="A693">
        <v>1</v>
      </c>
      <c r="O693" s="6"/>
      <c r="P693">
        <v>3</v>
      </c>
      <c r="AD693" s="6"/>
      <c r="AE693" t="s">
        <v>42</v>
      </c>
      <c r="AU693" s="6"/>
      <c r="AV693" t="s">
        <v>0</v>
      </c>
      <c r="GB693">
        <v>1</v>
      </c>
    </row>
    <row r="694" spans="1:184">
      <c r="A694">
        <v>1</v>
      </c>
      <c r="O694" s="6"/>
      <c r="P694">
        <v>3</v>
      </c>
      <c r="AD694" s="6"/>
      <c r="AE694" t="s">
        <v>42</v>
      </c>
      <c r="AU694" s="6"/>
      <c r="AV694" t="s">
        <v>0</v>
      </c>
      <c r="GB694">
        <v>1</v>
      </c>
    </row>
    <row r="695" spans="1:184">
      <c r="A695">
        <v>1</v>
      </c>
      <c r="O695" s="6"/>
      <c r="P695">
        <v>3</v>
      </c>
      <c r="AD695" s="6"/>
      <c r="AE695" t="s">
        <v>42</v>
      </c>
      <c r="AU695" s="6"/>
      <c r="AV695" t="s">
        <v>0</v>
      </c>
      <c r="GB695">
        <v>1</v>
      </c>
    </row>
    <row r="696" spans="1:184">
      <c r="A696">
        <v>1</v>
      </c>
      <c r="O696" s="6"/>
      <c r="P696">
        <v>3</v>
      </c>
      <c r="AD696" s="6"/>
      <c r="AE696" t="s">
        <v>42</v>
      </c>
      <c r="AU696" s="6"/>
      <c r="AV696" t="s">
        <v>0</v>
      </c>
      <c r="GB696">
        <v>1</v>
      </c>
    </row>
    <row r="697" spans="1:184">
      <c r="A697">
        <v>1</v>
      </c>
      <c r="O697" s="6"/>
      <c r="P697">
        <v>3</v>
      </c>
      <c r="AD697" s="6"/>
      <c r="AE697" t="s">
        <v>42</v>
      </c>
      <c r="AU697" s="6"/>
      <c r="AV697" t="s">
        <v>0</v>
      </c>
      <c r="GB697">
        <v>1</v>
      </c>
    </row>
    <row r="698" spans="1:184">
      <c r="A698">
        <v>1</v>
      </c>
      <c r="O698" s="6"/>
      <c r="P698">
        <v>3</v>
      </c>
      <c r="AD698" s="6"/>
      <c r="AE698" t="s">
        <v>42</v>
      </c>
      <c r="AU698" s="6"/>
      <c r="AV698" t="s">
        <v>0</v>
      </c>
      <c r="GB698">
        <v>1</v>
      </c>
    </row>
    <row r="699" spans="1:184">
      <c r="A699">
        <v>1</v>
      </c>
      <c r="O699" s="6"/>
      <c r="P699">
        <v>3</v>
      </c>
      <c r="AD699" s="6"/>
      <c r="AE699" t="s">
        <v>42</v>
      </c>
      <c r="AU699" s="6"/>
      <c r="AV699" t="s">
        <v>0</v>
      </c>
      <c r="GB699">
        <v>1</v>
      </c>
    </row>
    <row r="700" spans="1:184">
      <c r="A700">
        <v>1</v>
      </c>
      <c r="O700" s="6"/>
      <c r="P700">
        <v>3</v>
      </c>
      <c r="AD700" s="6"/>
      <c r="AE700" t="s">
        <v>42</v>
      </c>
      <c r="AU700" s="6"/>
      <c r="AV700" t="s">
        <v>0</v>
      </c>
      <c r="GB700">
        <v>1</v>
      </c>
    </row>
    <row r="701" spans="1:184">
      <c r="A701">
        <v>1</v>
      </c>
      <c r="O701" s="6"/>
      <c r="P701">
        <v>3</v>
      </c>
      <c r="AD701" s="6"/>
      <c r="AE701" t="s">
        <v>42</v>
      </c>
      <c r="AU701" s="6"/>
      <c r="AV701" t="s">
        <v>0</v>
      </c>
      <c r="GB701">
        <v>1</v>
      </c>
    </row>
    <row r="702" spans="1:184">
      <c r="A702">
        <v>1</v>
      </c>
      <c r="O702" s="6"/>
      <c r="P702">
        <v>3</v>
      </c>
      <c r="AD702" s="6"/>
      <c r="AE702" t="s">
        <v>42</v>
      </c>
      <c r="AU702" s="6"/>
      <c r="AV702" t="s">
        <v>0</v>
      </c>
      <c r="GB702">
        <v>1</v>
      </c>
    </row>
    <row r="703" spans="1:184">
      <c r="A703">
        <v>1</v>
      </c>
      <c r="O703" s="6"/>
      <c r="P703">
        <v>3</v>
      </c>
      <c r="AD703" s="6"/>
      <c r="AE703" t="s">
        <v>42</v>
      </c>
      <c r="AU703" s="6"/>
      <c r="AV703" t="s">
        <v>0</v>
      </c>
      <c r="GB703">
        <v>1</v>
      </c>
    </row>
    <row r="704" spans="1:184">
      <c r="A704">
        <v>1</v>
      </c>
      <c r="O704" s="6"/>
      <c r="P704">
        <v>3</v>
      </c>
      <c r="AD704" s="6"/>
      <c r="AE704" t="s">
        <v>42</v>
      </c>
      <c r="AU704" s="6"/>
      <c r="AV704" t="s">
        <v>0</v>
      </c>
      <c r="GB704">
        <v>1</v>
      </c>
    </row>
    <row r="705" spans="1:184">
      <c r="A705">
        <v>1</v>
      </c>
      <c r="O705" s="6"/>
      <c r="P705">
        <v>3</v>
      </c>
      <c r="AD705" s="6"/>
      <c r="AE705" t="s">
        <v>42</v>
      </c>
      <c r="AU705" s="6"/>
      <c r="AV705" t="s">
        <v>0</v>
      </c>
      <c r="GB705">
        <v>1</v>
      </c>
    </row>
    <row r="706" spans="1:184">
      <c r="A706">
        <v>1</v>
      </c>
      <c r="O706" s="6"/>
      <c r="P706">
        <v>3</v>
      </c>
      <c r="AD706" s="6"/>
      <c r="AE706" t="s">
        <v>42</v>
      </c>
      <c r="AU706" s="6"/>
      <c r="AV706" t="s">
        <v>0</v>
      </c>
      <c r="GB706">
        <v>1</v>
      </c>
    </row>
    <row r="707" spans="1:184">
      <c r="A707">
        <v>1</v>
      </c>
      <c r="O707" s="6"/>
      <c r="P707">
        <v>3</v>
      </c>
      <c r="AD707" s="6"/>
      <c r="AE707" t="s">
        <v>42</v>
      </c>
      <c r="AU707" s="6"/>
      <c r="AV707" t="s">
        <v>0</v>
      </c>
      <c r="GB707">
        <v>1</v>
      </c>
    </row>
    <row r="708" spans="1:184">
      <c r="A708">
        <v>1</v>
      </c>
      <c r="O708" s="6"/>
      <c r="P708">
        <v>3</v>
      </c>
      <c r="AD708" s="6"/>
      <c r="AE708" t="s">
        <v>42</v>
      </c>
      <c r="AU708" s="6"/>
      <c r="AV708" t="s">
        <v>0</v>
      </c>
      <c r="GB708">
        <v>1</v>
      </c>
    </row>
    <row r="709" spans="1:184">
      <c r="A709">
        <v>1</v>
      </c>
      <c r="O709" s="6"/>
      <c r="P709">
        <v>3</v>
      </c>
      <c r="AD709" s="6"/>
      <c r="AE709" t="s">
        <v>42</v>
      </c>
      <c r="AU709" s="6"/>
      <c r="AV709" t="s">
        <v>0</v>
      </c>
      <c r="GB709">
        <v>1</v>
      </c>
    </row>
    <row r="710" spans="1:184">
      <c r="A710">
        <v>1</v>
      </c>
      <c r="O710" s="6"/>
      <c r="P710">
        <v>3</v>
      </c>
      <c r="AD710" s="6"/>
      <c r="AE710" t="s">
        <v>42</v>
      </c>
      <c r="AU710" s="6"/>
      <c r="AV710" t="s">
        <v>0</v>
      </c>
      <c r="GB710">
        <v>1</v>
      </c>
    </row>
    <row r="711" spans="1:184">
      <c r="A711">
        <v>1</v>
      </c>
      <c r="O711" s="6"/>
      <c r="P711">
        <v>3</v>
      </c>
      <c r="AD711" s="6"/>
      <c r="AE711" t="s">
        <v>42</v>
      </c>
      <c r="AU711" s="6"/>
      <c r="AV711" t="s">
        <v>0</v>
      </c>
      <c r="GB711">
        <v>1</v>
      </c>
    </row>
    <row r="712" spans="1:184">
      <c r="A712">
        <v>1</v>
      </c>
      <c r="O712" s="6"/>
      <c r="P712">
        <v>3</v>
      </c>
      <c r="AD712" s="6"/>
      <c r="AE712" t="s">
        <v>42</v>
      </c>
      <c r="AU712" s="6"/>
      <c r="AV712" t="s">
        <v>0</v>
      </c>
      <c r="GB712">
        <v>1</v>
      </c>
    </row>
    <row r="713" spans="1:184">
      <c r="A713">
        <v>1</v>
      </c>
      <c r="O713" s="6"/>
      <c r="P713">
        <v>3</v>
      </c>
      <c r="AD713" s="6"/>
      <c r="AE713" t="s">
        <v>42</v>
      </c>
      <c r="AU713" s="6"/>
      <c r="AV713" t="s">
        <v>0</v>
      </c>
      <c r="GB713">
        <v>1</v>
      </c>
    </row>
    <row r="714" spans="1:184">
      <c r="A714">
        <v>1</v>
      </c>
      <c r="O714" s="6"/>
      <c r="P714">
        <v>3</v>
      </c>
      <c r="AD714" s="6"/>
      <c r="AE714" t="s">
        <v>42</v>
      </c>
      <c r="AU714" s="6"/>
      <c r="AV714" t="s">
        <v>0</v>
      </c>
      <c r="GB714">
        <v>1</v>
      </c>
    </row>
    <row r="715" spans="1:184">
      <c r="A715">
        <v>1</v>
      </c>
      <c r="O715" s="6"/>
      <c r="P715">
        <v>3</v>
      </c>
      <c r="AD715" s="6"/>
      <c r="AE715" t="s">
        <v>42</v>
      </c>
      <c r="AU715" s="6"/>
      <c r="AV715" t="s">
        <v>0</v>
      </c>
      <c r="GB715">
        <v>1</v>
      </c>
    </row>
    <row r="716" spans="1:184">
      <c r="A716">
        <v>1</v>
      </c>
      <c r="O716" s="6"/>
      <c r="P716">
        <v>3</v>
      </c>
      <c r="AD716" s="6"/>
      <c r="AE716" t="s">
        <v>42</v>
      </c>
      <c r="AU716" s="6"/>
      <c r="AV716" t="s">
        <v>0</v>
      </c>
      <c r="GB716">
        <v>1</v>
      </c>
    </row>
    <row r="717" spans="1:184">
      <c r="A717">
        <v>1</v>
      </c>
      <c r="O717" s="6"/>
      <c r="P717">
        <v>3</v>
      </c>
      <c r="AD717" s="6"/>
      <c r="AE717" t="s">
        <v>42</v>
      </c>
      <c r="AU717" s="6"/>
      <c r="AV717" t="s">
        <v>0</v>
      </c>
      <c r="GB717">
        <v>1</v>
      </c>
    </row>
    <row r="718" spans="1:184">
      <c r="A718">
        <v>1</v>
      </c>
      <c r="O718" s="6"/>
      <c r="P718">
        <v>3</v>
      </c>
      <c r="AD718" s="6"/>
      <c r="AE718" t="s">
        <v>42</v>
      </c>
      <c r="AU718" s="6"/>
      <c r="AV718" t="s">
        <v>0</v>
      </c>
      <c r="GB718">
        <v>1</v>
      </c>
    </row>
    <row r="719" spans="1:184">
      <c r="A719">
        <v>1</v>
      </c>
      <c r="O719" s="6"/>
      <c r="P719">
        <v>3</v>
      </c>
      <c r="AD719" s="6"/>
      <c r="AE719" t="s">
        <v>42</v>
      </c>
      <c r="AU719" s="6"/>
      <c r="AV719" t="s">
        <v>0</v>
      </c>
      <c r="GB719">
        <v>1</v>
      </c>
    </row>
    <row r="720" spans="1:184">
      <c r="A720">
        <v>1</v>
      </c>
      <c r="O720" s="6"/>
      <c r="P720">
        <v>3</v>
      </c>
      <c r="AD720" s="6"/>
      <c r="AE720" t="s">
        <v>42</v>
      </c>
      <c r="AU720" s="6"/>
      <c r="AV720" t="s">
        <v>0</v>
      </c>
      <c r="GB720">
        <v>1</v>
      </c>
    </row>
    <row r="721" spans="1:184">
      <c r="A721">
        <v>1</v>
      </c>
      <c r="O721" s="6"/>
      <c r="P721">
        <v>3</v>
      </c>
      <c r="AD721" s="6"/>
      <c r="AE721" t="s">
        <v>42</v>
      </c>
      <c r="AU721" s="6"/>
      <c r="AV721" t="s">
        <v>0</v>
      </c>
      <c r="GB721">
        <v>1</v>
      </c>
    </row>
    <row r="722" spans="1:184">
      <c r="A722">
        <v>1</v>
      </c>
      <c r="O722" s="6"/>
      <c r="P722">
        <v>3</v>
      </c>
      <c r="AD722" s="6"/>
      <c r="AE722" t="s">
        <v>42</v>
      </c>
      <c r="AU722" s="6"/>
      <c r="AV722" t="s">
        <v>0</v>
      </c>
      <c r="GB722">
        <v>1</v>
      </c>
    </row>
    <row r="723" spans="1:184">
      <c r="A723">
        <v>1</v>
      </c>
      <c r="O723" s="6"/>
      <c r="P723">
        <v>3</v>
      </c>
      <c r="AD723" s="6"/>
      <c r="AE723" t="s">
        <v>42</v>
      </c>
      <c r="AU723" s="6"/>
      <c r="AV723" t="s">
        <v>0</v>
      </c>
      <c r="GB723">
        <v>1</v>
      </c>
    </row>
    <row r="724" spans="1:184">
      <c r="A724">
        <v>1</v>
      </c>
      <c r="O724" s="6"/>
      <c r="P724">
        <v>3</v>
      </c>
      <c r="AD724" s="6"/>
      <c r="AE724" t="s">
        <v>42</v>
      </c>
      <c r="AU724" s="6"/>
      <c r="AV724" t="s">
        <v>0</v>
      </c>
      <c r="GB724">
        <v>1</v>
      </c>
    </row>
    <row r="725" spans="1:184">
      <c r="A725">
        <v>1</v>
      </c>
      <c r="O725" s="6"/>
      <c r="P725">
        <v>3</v>
      </c>
      <c r="AD725" s="6"/>
      <c r="AE725" t="s">
        <v>42</v>
      </c>
      <c r="AU725" s="6"/>
      <c r="AV725" t="s">
        <v>0</v>
      </c>
      <c r="GB725">
        <v>1</v>
      </c>
    </row>
    <row r="726" spans="1:184">
      <c r="A726">
        <v>1</v>
      </c>
      <c r="O726" s="6"/>
      <c r="P726">
        <v>3</v>
      </c>
      <c r="AD726" s="6"/>
      <c r="AE726" t="s">
        <v>42</v>
      </c>
      <c r="AU726" s="6"/>
      <c r="AV726" t="s">
        <v>0</v>
      </c>
      <c r="GB726">
        <v>1</v>
      </c>
    </row>
    <row r="727" spans="1:184">
      <c r="A727">
        <v>1</v>
      </c>
      <c r="O727" s="6"/>
      <c r="P727">
        <v>3</v>
      </c>
      <c r="AD727" s="6"/>
      <c r="AE727" t="s">
        <v>42</v>
      </c>
      <c r="AU727" s="6"/>
      <c r="AV727" t="s">
        <v>0</v>
      </c>
      <c r="GB727">
        <v>1</v>
      </c>
    </row>
    <row r="728" spans="1:184">
      <c r="A728">
        <v>1</v>
      </c>
      <c r="O728" s="6"/>
      <c r="P728">
        <v>3</v>
      </c>
      <c r="AD728" s="6"/>
      <c r="AE728" t="s">
        <v>42</v>
      </c>
      <c r="AU728" s="6"/>
      <c r="AV728" t="s">
        <v>0</v>
      </c>
      <c r="GB728">
        <v>1</v>
      </c>
    </row>
    <row r="729" spans="1:184">
      <c r="A729">
        <v>1</v>
      </c>
      <c r="O729" s="6"/>
      <c r="P729">
        <v>3</v>
      </c>
      <c r="AD729" s="6"/>
      <c r="AE729" t="s">
        <v>42</v>
      </c>
      <c r="AU729" s="6"/>
      <c r="AV729" t="s">
        <v>0</v>
      </c>
      <c r="GB729">
        <v>1</v>
      </c>
    </row>
    <row r="730" spans="1:184">
      <c r="A730">
        <v>1</v>
      </c>
      <c r="O730" s="6"/>
      <c r="P730">
        <v>3</v>
      </c>
      <c r="AD730" s="6"/>
      <c r="AE730" t="s">
        <v>42</v>
      </c>
      <c r="AU730" s="6"/>
      <c r="AV730" t="s">
        <v>0</v>
      </c>
      <c r="GB730">
        <v>1</v>
      </c>
    </row>
    <row r="731" spans="1:184">
      <c r="A731">
        <v>1</v>
      </c>
      <c r="O731" s="6"/>
      <c r="P731">
        <v>3</v>
      </c>
      <c r="AD731" s="6"/>
      <c r="AE731" t="s">
        <v>42</v>
      </c>
      <c r="AU731" s="6"/>
      <c r="AV731" t="s">
        <v>0</v>
      </c>
      <c r="GB731">
        <v>1</v>
      </c>
    </row>
    <row r="732" spans="1:184">
      <c r="A732">
        <v>1</v>
      </c>
      <c r="O732" s="6"/>
      <c r="P732">
        <v>3</v>
      </c>
      <c r="AD732" s="6"/>
      <c r="AE732" t="s">
        <v>42</v>
      </c>
      <c r="AU732" s="6"/>
      <c r="AV732" t="s">
        <v>0</v>
      </c>
      <c r="GB732">
        <v>1</v>
      </c>
    </row>
    <row r="733" spans="1:184">
      <c r="A733">
        <v>1</v>
      </c>
      <c r="O733" s="6"/>
      <c r="P733">
        <v>3</v>
      </c>
      <c r="AD733" s="6"/>
      <c r="AE733" t="s">
        <v>42</v>
      </c>
      <c r="AU733" s="6"/>
      <c r="AV733" t="s">
        <v>0</v>
      </c>
      <c r="GB733">
        <v>1</v>
      </c>
    </row>
    <row r="734" spans="1:184">
      <c r="A734">
        <v>1</v>
      </c>
      <c r="O734" s="6"/>
      <c r="P734">
        <v>3</v>
      </c>
      <c r="AD734" s="6"/>
      <c r="AE734" t="s">
        <v>42</v>
      </c>
      <c r="AU734" s="6"/>
      <c r="AV734" t="s">
        <v>0</v>
      </c>
      <c r="GB734">
        <v>1</v>
      </c>
    </row>
    <row r="735" spans="1:184">
      <c r="A735">
        <v>1</v>
      </c>
      <c r="O735" s="6"/>
      <c r="P735">
        <v>3</v>
      </c>
      <c r="AD735" s="6"/>
      <c r="AE735" t="s">
        <v>42</v>
      </c>
      <c r="AU735" s="6"/>
      <c r="AV735" t="s">
        <v>0</v>
      </c>
      <c r="GB735">
        <v>1</v>
      </c>
    </row>
    <row r="736" spans="1:184">
      <c r="A736">
        <v>1</v>
      </c>
      <c r="O736" s="6"/>
      <c r="P736">
        <v>3</v>
      </c>
      <c r="AD736" s="6"/>
      <c r="AE736" t="s">
        <v>42</v>
      </c>
      <c r="AU736" s="6"/>
      <c r="AV736" t="s">
        <v>0</v>
      </c>
      <c r="GB736">
        <v>1</v>
      </c>
    </row>
    <row r="737" spans="1:184">
      <c r="A737">
        <v>1</v>
      </c>
      <c r="O737" s="6"/>
      <c r="P737">
        <v>3</v>
      </c>
      <c r="AD737" s="6"/>
      <c r="AE737" t="s">
        <v>42</v>
      </c>
      <c r="AU737" s="6"/>
      <c r="AV737" t="s">
        <v>0</v>
      </c>
      <c r="GB737">
        <v>1</v>
      </c>
    </row>
    <row r="738" spans="1:184">
      <c r="A738">
        <v>1</v>
      </c>
      <c r="O738" s="6"/>
      <c r="P738">
        <v>3</v>
      </c>
      <c r="AD738" s="6"/>
      <c r="AE738" t="s">
        <v>42</v>
      </c>
      <c r="AU738" s="6"/>
      <c r="AV738" t="s">
        <v>0</v>
      </c>
      <c r="GB738">
        <v>1</v>
      </c>
    </row>
    <row r="739" spans="1:184">
      <c r="A739">
        <v>1</v>
      </c>
      <c r="O739" s="6"/>
      <c r="P739">
        <v>3</v>
      </c>
      <c r="AD739" s="6"/>
      <c r="AE739" t="s">
        <v>42</v>
      </c>
      <c r="AU739" s="6"/>
      <c r="AV739" t="s">
        <v>0</v>
      </c>
      <c r="GB739">
        <v>1</v>
      </c>
    </row>
    <row r="740" spans="1:184">
      <c r="A740">
        <v>1</v>
      </c>
      <c r="O740" s="6"/>
      <c r="P740">
        <v>3</v>
      </c>
      <c r="AD740" s="6"/>
      <c r="AE740" t="s">
        <v>42</v>
      </c>
      <c r="AU740" s="6"/>
      <c r="AV740" t="s">
        <v>0</v>
      </c>
      <c r="GB740">
        <v>1</v>
      </c>
    </row>
    <row r="741" spans="1:184">
      <c r="A741">
        <v>1</v>
      </c>
      <c r="O741" s="6"/>
      <c r="P741">
        <v>3</v>
      </c>
      <c r="AD741" s="6"/>
      <c r="AE741" t="s">
        <v>42</v>
      </c>
      <c r="AU741" s="6"/>
      <c r="AV741" t="s">
        <v>0</v>
      </c>
      <c r="GB741">
        <v>1</v>
      </c>
    </row>
    <row r="742" spans="1:184">
      <c r="A742">
        <v>1</v>
      </c>
      <c r="O742" s="6"/>
      <c r="P742">
        <v>3</v>
      </c>
      <c r="AD742" s="6"/>
      <c r="AE742" t="s">
        <v>42</v>
      </c>
      <c r="AU742" s="6"/>
      <c r="AV742" t="s">
        <v>0</v>
      </c>
      <c r="GB742">
        <v>1</v>
      </c>
    </row>
    <row r="743" spans="1:184">
      <c r="A743">
        <v>1</v>
      </c>
      <c r="O743" s="6"/>
      <c r="P743">
        <v>3</v>
      </c>
      <c r="AD743" s="6"/>
      <c r="AE743" t="s">
        <v>42</v>
      </c>
      <c r="AU743" s="6"/>
      <c r="AV743" t="s">
        <v>0</v>
      </c>
      <c r="GB743">
        <v>1</v>
      </c>
    </row>
    <row r="744" spans="1:184">
      <c r="A744">
        <v>1</v>
      </c>
      <c r="O744" s="6"/>
      <c r="P744">
        <v>3</v>
      </c>
      <c r="AD744" s="6"/>
      <c r="AE744" t="s">
        <v>42</v>
      </c>
      <c r="AU744" s="6"/>
      <c r="AV744" t="s">
        <v>0</v>
      </c>
      <c r="GB744">
        <v>1</v>
      </c>
    </row>
    <row r="745" spans="1:184">
      <c r="A745">
        <v>1</v>
      </c>
      <c r="O745" s="6"/>
      <c r="P745">
        <v>3</v>
      </c>
      <c r="AD745" s="6"/>
      <c r="AE745" t="s">
        <v>42</v>
      </c>
      <c r="AU745" s="6"/>
      <c r="AV745" t="s">
        <v>0</v>
      </c>
      <c r="GB745">
        <v>1</v>
      </c>
    </row>
    <row r="746" spans="1:184">
      <c r="A746">
        <v>1</v>
      </c>
      <c r="O746" s="6"/>
      <c r="P746">
        <v>3</v>
      </c>
      <c r="AD746" s="6"/>
      <c r="AE746" t="s">
        <v>42</v>
      </c>
      <c r="AU746" s="6"/>
      <c r="AV746" t="s">
        <v>0</v>
      </c>
      <c r="GB746">
        <v>1</v>
      </c>
    </row>
    <row r="747" spans="1:184">
      <c r="A747">
        <v>1</v>
      </c>
      <c r="O747" s="6"/>
      <c r="P747">
        <v>3</v>
      </c>
      <c r="AD747" s="6"/>
      <c r="AE747" t="s">
        <v>42</v>
      </c>
      <c r="AU747" s="6"/>
      <c r="AV747" t="s">
        <v>0</v>
      </c>
      <c r="GB747">
        <v>1</v>
      </c>
    </row>
    <row r="748" spans="1:184">
      <c r="A748">
        <v>1</v>
      </c>
      <c r="O748" s="6"/>
      <c r="P748">
        <v>3</v>
      </c>
      <c r="AD748" s="6"/>
      <c r="AE748" t="s">
        <v>42</v>
      </c>
      <c r="AU748" s="6"/>
      <c r="AV748" t="s">
        <v>0</v>
      </c>
      <c r="GB748">
        <v>1</v>
      </c>
    </row>
    <row r="749" spans="1:184">
      <c r="A749">
        <v>1</v>
      </c>
      <c r="O749" s="6"/>
      <c r="P749">
        <v>3</v>
      </c>
      <c r="AD749" s="6"/>
      <c r="AE749" t="s">
        <v>42</v>
      </c>
      <c r="AU749" s="6"/>
      <c r="AV749" t="s">
        <v>0</v>
      </c>
      <c r="GB749">
        <v>1</v>
      </c>
    </row>
    <row r="750" spans="1:184">
      <c r="A750">
        <v>1</v>
      </c>
      <c r="O750" s="6"/>
      <c r="P750">
        <v>3</v>
      </c>
      <c r="AD750" s="6"/>
      <c r="AE750" t="s">
        <v>42</v>
      </c>
      <c r="AU750" s="6"/>
      <c r="AV750" t="s">
        <v>0</v>
      </c>
      <c r="GB750">
        <v>1</v>
      </c>
    </row>
    <row r="751" spans="1:184">
      <c r="A751">
        <v>1</v>
      </c>
      <c r="O751" s="6"/>
      <c r="P751">
        <v>3</v>
      </c>
      <c r="AD751" s="6"/>
      <c r="AE751" t="s">
        <v>42</v>
      </c>
      <c r="AU751" s="6"/>
      <c r="AV751" t="s">
        <v>0</v>
      </c>
      <c r="GB751">
        <v>1</v>
      </c>
    </row>
    <row r="752" spans="1:184">
      <c r="A752">
        <v>1</v>
      </c>
      <c r="O752" s="6"/>
      <c r="P752">
        <v>3</v>
      </c>
      <c r="AD752" s="6"/>
      <c r="AE752" t="s">
        <v>42</v>
      </c>
      <c r="AU752" s="6"/>
      <c r="AV752" t="s">
        <v>0</v>
      </c>
      <c r="GB752">
        <v>1</v>
      </c>
    </row>
    <row r="753" spans="1:184">
      <c r="A753">
        <v>1</v>
      </c>
      <c r="O753" s="6"/>
      <c r="P753">
        <v>3</v>
      </c>
      <c r="AD753" s="6"/>
      <c r="AE753" t="s">
        <v>42</v>
      </c>
      <c r="AU753" s="6"/>
      <c r="AV753" t="s">
        <v>0</v>
      </c>
      <c r="GB753">
        <v>1</v>
      </c>
    </row>
    <row r="754" spans="1:184">
      <c r="A754">
        <v>1</v>
      </c>
      <c r="O754" s="6"/>
      <c r="P754">
        <v>3</v>
      </c>
      <c r="AD754" s="6"/>
      <c r="AE754" t="s">
        <v>42</v>
      </c>
      <c r="AU754" s="6"/>
      <c r="AV754" t="s">
        <v>0</v>
      </c>
      <c r="GB754">
        <v>1</v>
      </c>
    </row>
    <row r="755" spans="1:184">
      <c r="A755">
        <v>1</v>
      </c>
      <c r="O755" s="6"/>
      <c r="P755">
        <v>3</v>
      </c>
      <c r="AD755" s="6"/>
      <c r="AE755" t="s">
        <v>42</v>
      </c>
      <c r="AU755" s="6"/>
      <c r="AV755" t="s">
        <v>0</v>
      </c>
      <c r="GB755">
        <v>1</v>
      </c>
    </row>
    <row r="756" spans="1:184">
      <c r="A756">
        <v>1</v>
      </c>
      <c r="O756" s="6"/>
      <c r="P756">
        <v>3</v>
      </c>
      <c r="AD756" s="6"/>
      <c r="AE756" t="s">
        <v>42</v>
      </c>
      <c r="AU756" s="6"/>
      <c r="AV756" t="s">
        <v>0</v>
      </c>
      <c r="GB756">
        <v>1</v>
      </c>
    </row>
    <row r="757" spans="1:184">
      <c r="A757">
        <v>1</v>
      </c>
      <c r="O757" s="6"/>
      <c r="P757">
        <v>3</v>
      </c>
      <c r="AD757" s="6"/>
      <c r="AE757" t="s">
        <v>42</v>
      </c>
      <c r="AU757" s="6"/>
      <c r="AV757" t="s">
        <v>0</v>
      </c>
      <c r="GB757">
        <v>1</v>
      </c>
    </row>
    <row r="758" spans="1:184">
      <c r="A758">
        <v>1</v>
      </c>
      <c r="O758" s="6"/>
      <c r="P758">
        <v>3</v>
      </c>
      <c r="AD758" s="6"/>
      <c r="AE758" t="s">
        <v>42</v>
      </c>
      <c r="AU758" s="6"/>
      <c r="AV758" t="s">
        <v>0</v>
      </c>
      <c r="GB758">
        <v>1</v>
      </c>
    </row>
    <row r="759" spans="1:184">
      <c r="A759">
        <v>1</v>
      </c>
      <c r="O759" s="6"/>
      <c r="P759">
        <v>3</v>
      </c>
      <c r="AD759" s="6"/>
      <c r="AE759" t="s">
        <v>42</v>
      </c>
      <c r="AU759" s="6"/>
      <c r="AV759" t="s">
        <v>0</v>
      </c>
      <c r="GB759">
        <v>1</v>
      </c>
    </row>
    <row r="760" spans="1:184">
      <c r="A760">
        <v>1</v>
      </c>
      <c r="O760" s="6"/>
      <c r="P760">
        <v>3</v>
      </c>
      <c r="AD760" s="6"/>
      <c r="AE760" t="s">
        <v>42</v>
      </c>
      <c r="AU760" s="6"/>
      <c r="AV760" t="s">
        <v>0</v>
      </c>
      <c r="GB760">
        <v>1</v>
      </c>
    </row>
    <row r="761" spans="1:184">
      <c r="A761">
        <v>1</v>
      </c>
      <c r="O761" s="6"/>
      <c r="P761">
        <v>3</v>
      </c>
      <c r="AD761" s="6"/>
      <c r="AE761" t="s">
        <v>42</v>
      </c>
      <c r="AU761" s="6"/>
      <c r="AV761" t="s">
        <v>0</v>
      </c>
      <c r="GB761">
        <v>1</v>
      </c>
    </row>
    <row r="762" spans="1:184">
      <c r="A762">
        <v>1</v>
      </c>
      <c r="O762" s="6"/>
      <c r="P762">
        <v>3</v>
      </c>
      <c r="AD762" s="6"/>
      <c r="AE762" t="s">
        <v>42</v>
      </c>
      <c r="AU762" s="6"/>
      <c r="AV762" t="s">
        <v>0</v>
      </c>
      <c r="GB762">
        <v>1</v>
      </c>
    </row>
    <row r="763" spans="1:184">
      <c r="A763">
        <v>1</v>
      </c>
      <c r="O763" s="6"/>
      <c r="P763">
        <v>3</v>
      </c>
      <c r="AD763" s="6"/>
      <c r="AE763" t="s">
        <v>42</v>
      </c>
      <c r="AU763" s="6"/>
      <c r="AV763" t="s">
        <v>0</v>
      </c>
      <c r="GB763">
        <v>1</v>
      </c>
    </row>
    <row r="764" spans="1:184">
      <c r="A764">
        <v>1</v>
      </c>
      <c r="O764" s="6"/>
      <c r="P764">
        <v>3</v>
      </c>
      <c r="AD764" s="6"/>
      <c r="AE764" t="s">
        <v>42</v>
      </c>
      <c r="AU764" s="6"/>
      <c r="AV764" t="s">
        <v>0</v>
      </c>
      <c r="GB764">
        <v>1</v>
      </c>
    </row>
    <row r="765" spans="1:184">
      <c r="A765">
        <v>1</v>
      </c>
      <c r="O765" s="6"/>
      <c r="P765">
        <v>3</v>
      </c>
      <c r="AD765" s="6"/>
      <c r="AE765" t="s">
        <v>42</v>
      </c>
      <c r="AU765" s="6"/>
      <c r="AV765" t="s">
        <v>0</v>
      </c>
      <c r="GB765">
        <v>1</v>
      </c>
    </row>
    <row r="766" spans="1:184">
      <c r="A766">
        <v>1</v>
      </c>
      <c r="O766" s="6"/>
      <c r="P766">
        <v>3</v>
      </c>
      <c r="AD766" s="6"/>
      <c r="AE766" t="s">
        <v>42</v>
      </c>
      <c r="AU766" s="6"/>
      <c r="AV766" t="s">
        <v>0</v>
      </c>
      <c r="GB766">
        <v>1</v>
      </c>
    </row>
    <row r="767" spans="1:184">
      <c r="A767">
        <v>1</v>
      </c>
      <c r="O767" s="6"/>
      <c r="P767">
        <v>3</v>
      </c>
      <c r="AD767" s="6"/>
      <c r="AE767" t="s">
        <v>42</v>
      </c>
      <c r="AU767" s="6"/>
      <c r="AV767" t="s">
        <v>0</v>
      </c>
      <c r="GB767">
        <v>1</v>
      </c>
    </row>
    <row r="768" spans="1:184">
      <c r="A768">
        <v>1</v>
      </c>
      <c r="O768" s="6"/>
      <c r="P768">
        <v>3</v>
      </c>
      <c r="AD768" s="6"/>
      <c r="AE768" t="s">
        <v>42</v>
      </c>
      <c r="AU768" s="6"/>
      <c r="AV768" t="s">
        <v>0</v>
      </c>
      <c r="GB768">
        <v>1</v>
      </c>
    </row>
    <row r="769" spans="1:184">
      <c r="A769">
        <v>1</v>
      </c>
      <c r="O769" s="6"/>
      <c r="P769">
        <v>3</v>
      </c>
      <c r="AD769" s="6"/>
      <c r="AE769" t="s">
        <v>42</v>
      </c>
      <c r="AU769" s="6"/>
      <c r="AV769" t="s">
        <v>0</v>
      </c>
      <c r="GB769">
        <v>1</v>
      </c>
    </row>
    <row r="770" spans="1:184">
      <c r="A770">
        <v>1</v>
      </c>
      <c r="O770" s="6"/>
      <c r="P770">
        <v>3</v>
      </c>
      <c r="AD770" s="6"/>
      <c r="AE770" t="s">
        <v>42</v>
      </c>
      <c r="AU770" s="6"/>
      <c r="AV770" t="s">
        <v>0</v>
      </c>
      <c r="GB770">
        <v>1</v>
      </c>
    </row>
    <row r="771" spans="1:184">
      <c r="A771">
        <v>1</v>
      </c>
      <c r="O771" s="6"/>
      <c r="P771">
        <v>3</v>
      </c>
      <c r="AD771" s="6"/>
      <c r="AE771" t="s">
        <v>42</v>
      </c>
      <c r="AU771" s="6"/>
      <c r="AV771" t="s">
        <v>0</v>
      </c>
      <c r="GB771">
        <v>1</v>
      </c>
    </row>
    <row r="772" spans="1:184">
      <c r="A772">
        <v>1</v>
      </c>
      <c r="O772" s="6"/>
      <c r="P772">
        <v>3</v>
      </c>
      <c r="AD772" s="6"/>
      <c r="AE772" t="s">
        <v>42</v>
      </c>
      <c r="AU772" s="6"/>
      <c r="AV772" t="s">
        <v>0</v>
      </c>
      <c r="GB772">
        <v>1</v>
      </c>
    </row>
    <row r="773" spans="1:184">
      <c r="A773">
        <v>1</v>
      </c>
      <c r="O773" s="6"/>
      <c r="P773">
        <v>3</v>
      </c>
      <c r="AD773" s="6"/>
      <c r="AE773" t="s">
        <v>42</v>
      </c>
      <c r="AU773" s="6"/>
      <c r="AV773" t="s">
        <v>0</v>
      </c>
      <c r="GB773">
        <v>1</v>
      </c>
    </row>
    <row r="774" spans="1:184">
      <c r="A774">
        <v>1</v>
      </c>
      <c r="O774" s="6"/>
      <c r="P774">
        <v>3</v>
      </c>
      <c r="AD774" s="6"/>
      <c r="AE774" t="s">
        <v>42</v>
      </c>
      <c r="AU774" s="6"/>
      <c r="AV774" t="s">
        <v>0</v>
      </c>
      <c r="GB774">
        <v>1</v>
      </c>
    </row>
    <row r="775" spans="1:184">
      <c r="A775">
        <v>1</v>
      </c>
      <c r="O775" s="6"/>
      <c r="P775">
        <v>3</v>
      </c>
      <c r="AD775" s="6"/>
      <c r="AE775" t="s">
        <v>42</v>
      </c>
      <c r="AU775" s="6"/>
      <c r="AV775" t="s">
        <v>0</v>
      </c>
      <c r="GB775">
        <v>1</v>
      </c>
    </row>
    <row r="776" spans="1:184">
      <c r="A776">
        <v>1</v>
      </c>
      <c r="O776" s="6"/>
      <c r="P776">
        <v>3</v>
      </c>
      <c r="AD776" s="6"/>
      <c r="AE776" t="s">
        <v>42</v>
      </c>
      <c r="AU776" s="6"/>
      <c r="AV776" t="s">
        <v>0</v>
      </c>
      <c r="GB776">
        <v>1</v>
      </c>
    </row>
    <row r="777" spans="1:184">
      <c r="A777">
        <v>1</v>
      </c>
      <c r="O777" s="6"/>
      <c r="P777">
        <v>3</v>
      </c>
      <c r="AD777" s="6"/>
      <c r="AE777" t="s">
        <v>42</v>
      </c>
      <c r="AU777" s="6"/>
      <c r="AV777" t="s">
        <v>0</v>
      </c>
      <c r="GB777">
        <v>1</v>
      </c>
    </row>
    <row r="778" spans="1:184">
      <c r="A778">
        <v>1</v>
      </c>
      <c r="O778" s="6"/>
      <c r="P778">
        <v>3</v>
      </c>
      <c r="AD778" s="6"/>
      <c r="AE778" t="s">
        <v>42</v>
      </c>
      <c r="AU778" s="6"/>
      <c r="AV778" t="s">
        <v>0</v>
      </c>
      <c r="GB778">
        <v>1</v>
      </c>
    </row>
    <row r="779" spans="1:184">
      <c r="A779">
        <v>1</v>
      </c>
      <c r="O779" s="6"/>
      <c r="P779">
        <v>3</v>
      </c>
      <c r="AD779" s="6"/>
      <c r="AE779" t="s">
        <v>42</v>
      </c>
      <c r="AU779" s="6"/>
      <c r="AV779" t="s">
        <v>0</v>
      </c>
      <c r="GB779">
        <v>1</v>
      </c>
    </row>
    <row r="780" spans="1:184">
      <c r="A780">
        <v>1</v>
      </c>
      <c r="O780" s="6"/>
      <c r="P780">
        <v>3</v>
      </c>
      <c r="AD780" s="6"/>
      <c r="AE780" t="s">
        <v>42</v>
      </c>
      <c r="AU780" s="6"/>
      <c r="AV780" t="s">
        <v>0</v>
      </c>
      <c r="GB780">
        <v>1</v>
      </c>
    </row>
    <row r="781" spans="1:184">
      <c r="A781">
        <v>1</v>
      </c>
      <c r="O781" s="6"/>
      <c r="P781">
        <v>3</v>
      </c>
      <c r="AD781" s="6"/>
      <c r="AE781" t="s">
        <v>42</v>
      </c>
      <c r="AU781" s="6"/>
      <c r="AV781" t="s">
        <v>0</v>
      </c>
      <c r="GB781">
        <v>1</v>
      </c>
    </row>
    <row r="782" spans="1:184">
      <c r="A782">
        <v>1</v>
      </c>
      <c r="O782" s="6"/>
      <c r="P782">
        <v>3</v>
      </c>
      <c r="AD782" s="6"/>
      <c r="AE782" t="s">
        <v>42</v>
      </c>
      <c r="AU782" s="6"/>
      <c r="AV782" t="s">
        <v>0</v>
      </c>
      <c r="GB782">
        <v>1</v>
      </c>
    </row>
    <row r="783" spans="1:184">
      <c r="A783">
        <v>1</v>
      </c>
      <c r="O783" s="6"/>
      <c r="P783">
        <v>3</v>
      </c>
      <c r="AD783" s="6"/>
      <c r="AE783" t="s">
        <v>42</v>
      </c>
      <c r="AU783" s="6"/>
      <c r="AV783" t="s">
        <v>0</v>
      </c>
      <c r="GB783">
        <v>1</v>
      </c>
    </row>
    <row r="784" spans="1:184">
      <c r="A784">
        <v>1</v>
      </c>
      <c r="O784" s="6"/>
      <c r="P784">
        <v>3</v>
      </c>
      <c r="AD784" s="6"/>
      <c r="AE784" t="s">
        <v>42</v>
      </c>
      <c r="AU784" s="6"/>
      <c r="AV784" t="s">
        <v>0</v>
      </c>
      <c r="GB784">
        <v>1</v>
      </c>
    </row>
    <row r="785" spans="1:184">
      <c r="A785">
        <v>1</v>
      </c>
      <c r="O785" s="6"/>
      <c r="P785">
        <v>3</v>
      </c>
      <c r="AD785" s="6"/>
      <c r="AE785" t="s">
        <v>42</v>
      </c>
      <c r="AU785" s="6"/>
      <c r="AV785" t="s">
        <v>0</v>
      </c>
      <c r="GB785">
        <v>1</v>
      </c>
    </row>
    <row r="786" spans="1:184">
      <c r="A786">
        <v>1</v>
      </c>
      <c r="O786" s="6"/>
      <c r="P786">
        <v>3</v>
      </c>
      <c r="AD786" s="6"/>
      <c r="AE786" t="s">
        <v>42</v>
      </c>
      <c r="AU786" s="6"/>
      <c r="AV786" t="s">
        <v>0</v>
      </c>
      <c r="GB786">
        <v>1</v>
      </c>
    </row>
    <row r="787" spans="1:184">
      <c r="A787">
        <v>1</v>
      </c>
      <c r="O787" s="6"/>
      <c r="P787">
        <v>3</v>
      </c>
      <c r="AD787" s="6"/>
      <c r="AE787" t="s">
        <v>42</v>
      </c>
      <c r="AU787" s="6"/>
      <c r="AV787" t="s">
        <v>0</v>
      </c>
      <c r="GB787">
        <v>1</v>
      </c>
    </row>
    <row r="788" spans="1:184">
      <c r="A788">
        <v>1</v>
      </c>
      <c r="O788" s="6"/>
      <c r="P788">
        <v>3</v>
      </c>
      <c r="AD788" s="6"/>
      <c r="AE788" t="s">
        <v>42</v>
      </c>
      <c r="AU788" s="6"/>
      <c r="AV788" t="s">
        <v>0</v>
      </c>
      <c r="GB788">
        <v>1</v>
      </c>
    </row>
    <row r="789" spans="1:184">
      <c r="A789">
        <v>1</v>
      </c>
      <c r="O789" s="6"/>
      <c r="P789">
        <v>3</v>
      </c>
      <c r="AD789" s="6"/>
      <c r="AE789" t="s">
        <v>42</v>
      </c>
      <c r="AU789" s="6"/>
      <c r="AV789" t="s">
        <v>0</v>
      </c>
      <c r="GB789">
        <v>1</v>
      </c>
    </row>
    <row r="790" spans="1:184">
      <c r="A790">
        <v>1</v>
      </c>
      <c r="O790" s="6"/>
      <c r="P790">
        <v>3</v>
      </c>
      <c r="AD790" s="6"/>
      <c r="AE790" t="s">
        <v>42</v>
      </c>
      <c r="AU790" s="6"/>
      <c r="AV790" t="s">
        <v>0</v>
      </c>
      <c r="GB790">
        <v>1</v>
      </c>
    </row>
    <row r="791" spans="1:184">
      <c r="A791">
        <v>1</v>
      </c>
      <c r="O791" s="6"/>
      <c r="P791">
        <v>3</v>
      </c>
      <c r="AD791" s="6"/>
      <c r="AE791" t="s">
        <v>42</v>
      </c>
      <c r="AU791" s="6"/>
      <c r="AV791" t="s">
        <v>0</v>
      </c>
      <c r="GB791">
        <v>1</v>
      </c>
    </row>
    <row r="792" spans="1:184">
      <c r="A792">
        <v>1</v>
      </c>
      <c r="O792" s="6"/>
      <c r="P792">
        <v>3</v>
      </c>
      <c r="AD792" s="6"/>
      <c r="AE792" t="s">
        <v>42</v>
      </c>
      <c r="AU792" s="6"/>
      <c r="AV792" t="s">
        <v>0</v>
      </c>
      <c r="GB792">
        <v>1</v>
      </c>
    </row>
    <row r="793" spans="1:184">
      <c r="A793">
        <v>1</v>
      </c>
      <c r="O793" s="6"/>
      <c r="P793">
        <v>3</v>
      </c>
      <c r="AD793" s="6"/>
      <c r="AE793" t="s">
        <v>42</v>
      </c>
      <c r="AU793" s="6"/>
      <c r="AV793" t="s">
        <v>0</v>
      </c>
      <c r="GB793">
        <v>1</v>
      </c>
    </row>
    <row r="794" spans="1:184">
      <c r="A794">
        <v>1</v>
      </c>
      <c r="O794" s="6"/>
      <c r="P794">
        <v>3</v>
      </c>
      <c r="AD794" s="6"/>
      <c r="AE794" t="s">
        <v>42</v>
      </c>
      <c r="AU794" s="6"/>
      <c r="AV794" t="s">
        <v>0</v>
      </c>
      <c r="GB794">
        <v>1</v>
      </c>
    </row>
    <row r="795" spans="1:184">
      <c r="A795">
        <v>1</v>
      </c>
      <c r="O795" s="6"/>
      <c r="P795">
        <v>3</v>
      </c>
      <c r="AD795" s="6"/>
      <c r="AE795" t="s">
        <v>42</v>
      </c>
      <c r="AU795" s="6"/>
      <c r="AV795" t="s">
        <v>0</v>
      </c>
      <c r="GB795">
        <v>1</v>
      </c>
    </row>
    <row r="796" spans="1:184">
      <c r="A796">
        <v>1</v>
      </c>
      <c r="O796" s="6"/>
      <c r="P796">
        <v>3</v>
      </c>
      <c r="AD796" s="6"/>
      <c r="AE796" t="s">
        <v>42</v>
      </c>
      <c r="AU796" s="6"/>
      <c r="AV796" t="s">
        <v>0</v>
      </c>
      <c r="GB796">
        <v>2</v>
      </c>
    </row>
    <row r="797" spans="1:184">
      <c r="A797">
        <v>1</v>
      </c>
      <c r="O797" s="6"/>
      <c r="P797">
        <v>3</v>
      </c>
      <c r="AD797" s="6"/>
      <c r="AE797" t="s">
        <v>42</v>
      </c>
      <c r="AU797" s="6"/>
      <c r="AV797" t="s">
        <v>0</v>
      </c>
      <c r="GB797">
        <v>2</v>
      </c>
    </row>
    <row r="798" spans="1:184">
      <c r="A798">
        <v>1</v>
      </c>
      <c r="O798" s="6"/>
      <c r="P798">
        <v>3</v>
      </c>
      <c r="AD798" s="6"/>
      <c r="AE798" t="s">
        <v>42</v>
      </c>
      <c r="AU798" s="6"/>
      <c r="AV798" t="s">
        <v>0</v>
      </c>
      <c r="GB798">
        <v>2</v>
      </c>
    </row>
    <row r="799" spans="1:184">
      <c r="A799">
        <v>1</v>
      </c>
      <c r="O799" s="6"/>
      <c r="P799">
        <v>3</v>
      </c>
      <c r="AD799" s="6"/>
      <c r="AE799" t="s">
        <v>42</v>
      </c>
      <c r="AU799" s="6"/>
      <c r="AV799" t="s">
        <v>0</v>
      </c>
      <c r="GB799">
        <v>2</v>
      </c>
    </row>
    <row r="800" spans="1:184">
      <c r="A800">
        <v>1</v>
      </c>
      <c r="O800" s="6"/>
      <c r="P800">
        <v>3</v>
      </c>
      <c r="AD800" s="6"/>
      <c r="AE800" t="s">
        <v>42</v>
      </c>
      <c r="AU800" s="6"/>
      <c r="AV800" t="s">
        <v>0</v>
      </c>
      <c r="GB800">
        <v>2</v>
      </c>
    </row>
    <row r="801" spans="1:184">
      <c r="A801">
        <v>1</v>
      </c>
      <c r="O801" s="6"/>
      <c r="P801">
        <v>3</v>
      </c>
      <c r="AD801" s="6"/>
      <c r="AE801" t="s">
        <v>42</v>
      </c>
      <c r="AU801" s="6"/>
      <c r="AV801" t="s">
        <v>0</v>
      </c>
      <c r="GB801">
        <v>2</v>
      </c>
    </row>
    <row r="802" spans="1:184">
      <c r="A802">
        <v>1</v>
      </c>
      <c r="O802" s="6"/>
      <c r="P802">
        <v>3</v>
      </c>
      <c r="AD802" s="6"/>
      <c r="AE802" t="s">
        <v>42</v>
      </c>
      <c r="AU802" s="6"/>
      <c r="AV802" t="s">
        <v>0</v>
      </c>
      <c r="GB802">
        <v>2</v>
      </c>
    </row>
    <row r="803" spans="1:184">
      <c r="A803">
        <v>1</v>
      </c>
      <c r="O803" s="6"/>
      <c r="P803">
        <v>3</v>
      </c>
      <c r="AD803" s="6"/>
      <c r="AE803" t="s">
        <v>42</v>
      </c>
      <c r="AU803" s="6"/>
      <c r="AV803" t="s">
        <v>0</v>
      </c>
      <c r="GB803">
        <v>2</v>
      </c>
    </row>
    <row r="804" spans="1:184">
      <c r="A804">
        <v>1</v>
      </c>
      <c r="O804" s="6"/>
      <c r="P804">
        <v>3</v>
      </c>
      <c r="AD804" s="6"/>
      <c r="AE804" t="s">
        <v>42</v>
      </c>
      <c r="AU804" s="6"/>
      <c r="AV804" t="s">
        <v>0</v>
      </c>
      <c r="GB804">
        <v>2</v>
      </c>
    </row>
    <row r="805" spans="1:184">
      <c r="A805">
        <v>1</v>
      </c>
      <c r="O805" s="6"/>
      <c r="P805">
        <v>3</v>
      </c>
      <c r="AD805" s="6"/>
      <c r="AE805" t="s">
        <v>42</v>
      </c>
      <c r="AU805" s="6"/>
      <c r="AV805" t="s">
        <v>0</v>
      </c>
      <c r="GB805">
        <v>2</v>
      </c>
    </row>
    <row r="806" spans="1:184">
      <c r="A806">
        <v>1</v>
      </c>
      <c r="O806" s="6"/>
      <c r="P806">
        <v>3</v>
      </c>
      <c r="AD806" s="6"/>
      <c r="AE806" t="s">
        <v>42</v>
      </c>
      <c r="AU806" s="6"/>
      <c r="AV806" t="s">
        <v>0</v>
      </c>
      <c r="GB806">
        <v>2</v>
      </c>
    </row>
    <row r="807" spans="1:184">
      <c r="A807">
        <v>1</v>
      </c>
      <c r="O807" s="6"/>
      <c r="P807">
        <v>3</v>
      </c>
      <c r="AD807" s="6"/>
      <c r="AE807" t="s">
        <v>42</v>
      </c>
      <c r="AU807" s="6"/>
      <c r="AV807" t="s">
        <v>0</v>
      </c>
      <c r="GB807">
        <v>2</v>
      </c>
    </row>
    <row r="808" spans="1:184">
      <c r="A808">
        <v>1</v>
      </c>
      <c r="O808" s="6"/>
      <c r="P808">
        <v>3</v>
      </c>
      <c r="AD808" s="6"/>
      <c r="AE808" t="s">
        <v>42</v>
      </c>
      <c r="AU808" s="6"/>
      <c r="AV808" t="s">
        <v>0</v>
      </c>
      <c r="GB808">
        <v>2</v>
      </c>
    </row>
    <row r="809" spans="1:184">
      <c r="A809">
        <v>1</v>
      </c>
      <c r="O809" s="6"/>
      <c r="P809">
        <v>3</v>
      </c>
      <c r="AD809" s="6"/>
      <c r="AE809" t="s">
        <v>42</v>
      </c>
      <c r="AU809" s="6"/>
      <c r="AV809" t="s">
        <v>0</v>
      </c>
      <c r="GB809">
        <v>2</v>
      </c>
    </row>
    <row r="810" spans="1:184">
      <c r="A810">
        <v>1</v>
      </c>
      <c r="O810" s="6"/>
      <c r="P810">
        <v>3</v>
      </c>
      <c r="AD810" s="6"/>
      <c r="AE810" t="s">
        <v>42</v>
      </c>
      <c r="AU810" s="6"/>
      <c r="AV810" t="s">
        <v>0</v>
      </c>
      <c r="GB810">
        <v>2</v>
      </c>
    </row>
    <row r="811" spans="1:184">
      <c r="A811">
        <v>1</v>
      </c>
      <c r="O811" s="6"/>
      <c r="P811">
        <v>3</v>
      </c>
      <c r="AD811" s="6"/>
      <c r="AE811" t="s">
        <v>42</v>
      </c>
      <c r="AU811" s="6"/>
      <c r="AV811" t="s">
        <v>0</v>
      </c>
      <c r="GB811">
        <v>2</v>
      </c>
    </row>
    <row r="812" spans="1:184">
      <c r="A812">
        <v>1</v>
      </c>
      <c r="O812" s="6"/>
      <c r="P812">
        <v>3</v>
      </c>
      <c r="AD812" s="6"/>
      <c r="AE812" t="s">
        <v>42</v>
      </c>
      <c r="AU812" s="6"/>
      <c r="AV812" t="s">
        <v>0</v>
      </c>
      <c r="GB812">
        <v>2</v>
      </c>
    </row>
    <row r="813" spans="1:184">
      <c r="A813">
        <v>1</v>
      </c>
      <c r="O813" s="6"/>
      <c r="P813">
        <v>3</v>
      </c>
      <c r="AD813" s="6"/>
      <c r="AE813" t="s">
        <v>42</v>
      </c>
      <c r="AU813" s="6"/>
      <c r="AV813" t="s">
        <v>0</v>
      </c>
      <c r="GB813">
        <v>2</v>
      </c>
    </row>
    <row r="814" spans="1:184">
      <c r="A814">
        <v>1</v>
      </c>
      <c r="O814" s="6"/>
      <c r="P814">
        <v>3</v>
      </c>
      <c r="AD814" s="6"/>
      <c r="AE814" t="s">
        <v>42</v>
      </c>
      <c r="AU814" s="6"/>
      <c r="AV814" t="s">
        <v>0</v>
      </c>
      <c r="GB814">
        <v>2</v>
      </c>
    </row>
    <row r="815" spans="1:184">
      <c r="A815">
        <v>1</v>
      </c>
      <c r="O815" s="6"/>
      <c r="P815">
        <v>3</v>
      </c>
      <c r="AD815" s="6"/>
      <c r="AE815" t="s">
        <v>42</v>
      </c>
      <c r="AU815" s="6"/>
      <c r="AV815" t="s">
        <v>0</v>
      </c>
      <c r="GB815">
        <v>2</v>
      </c>
    </row>
    <row r="816" spans="1:184">
      <c r="A816">
        <v>1</v>
      </c>
      <c r="O816" s="6"/>
      <c r="P816">
        <v>3</v>
      </c>
      <c r="AD816" s="6"/>
      <c r="AE816" t="s">
        <v>42</v>
      </c>
      <c r="AU816" s="6"/>
      <c r="AV816" t="s">
        <v>0</v>
      </c>
      <c r="GB816">
        <v>2</v>
      </c>
    </row>
    <row r="817" spans="1:184">
      <c r="A817">
        <v>1</v>
      </c>
      <c r="O817" s="6"/>
      <c r="P817">
        <v>3</v>
      </c>
      <c r="AD817" s="6"/>
      <c r="AE817" t="s">
        <v>42</v>
      </c>
      <c r="AU817" s="6"/>
      <c r="AV817" t="s">
        <v>0</v>
      </c>
      <c r="GB817">
        <v>2</v>
      </c>
    </row>
    <row r="818" spans="1:184">
      <c r="A818">
        <v>1</v>
      </c>
      <c r="O818" s="6"/>
      <c r="P818">
        <v>3</v>
      </c>
      <c r="AD818" s="6"/>
      <c r="AE818" t="s">
        <v>42</v>
      </c>
      <c r="AU818" s="6"/>
      <c r="AV818" t="s">
        <v>0</v>
      </c>
      <c r="GB818">
        <v>2</v>
      </c>
    </row>
    <row r="819" spans="1:184">
      <c r="A819">
        <v>1</v>
      </c>
      <c r="O819" s="6"/>
      <c r="P819">
        <v>3</v>
      </c>
      <c r="AD819" s="6"/>
      <c r="AE819" t="s">
        <v>42</v>
      </c>
      <c r="AU819" s="6"/>
      <c r="AV819" t="s">
        <v>0</v>
      </c>
      <c r="GB819">
        <v>2</v>
      </c>
    </row>
    <row r="820" spans="1:184">
      <c r="A820">
        <v>1</v>
      </c>
      <c r="O820" s="6"/>
      <c r="P820">
        <v>3</v>
      </c>
      <c r="AD820" s="6"/>
      <c r="AE820" t="s">
        <v>42</v>
      </c>
      <c r="AU820" s="6"/>
      <c r="AV820" t="s">
        <v>0</v>
      </c>
      <c r="GB820">
        <v>2</v>
      </c>
    </row>
    <row r="821" spans="1:184">
      <c r="A821">
        <v>1</v>
      </c>
      <c r="O821" s="6"/>
      <c r="P821">
        <v>3</v>
      </c>
      <c r="AD821" s="6"/>
      <c r="AE821" t="s">
        <v>42</v>
      </c>
      <c r="AU821" s="6"/>
      <c r="AV821" t="s">
        <v>0</v>
      </c>
      <c r="GB821">
        <v>2</v>
      </c>
    </row>
    <row r="822" spans="1:184">
      <c r="A822">
        <v>1</v>
      </c>
      <c r="O822" s="6"/>
      <c r="P822">
        <v>3</v>
      </c>
      <c r="AD822" s="6"/>
      <c r="AE822" t="s">
        <v>42</v>
      </c>
      <c r="AU822" s="6"/>
      <c r="AV822" t="s">
        <v>0</v>
      </c>
      <c r="GB822">
        <v>2</v>
      </c>
    </row>
    <row r="823" spans="1:184">
      <c r="A823">
        <v>1</v>
      </c>
      <c r="O823" s="6"/>
      <c r="P823">
        <v>3</v>
      </c>
      <c r="AD823" s="6"/>
      <c r="AE823" t="s">
        <v>42</v>
      </c>
      <c r="AU823" s="6"/>
      <c r="AV823" t="s">
        <v>0</v>
      </c>
      <c r="GB823">
        <v>2</v>
      </c>
    </row>
    <row r="824" spans="1:184">
      <c r="A824">
        <v>1</v>
      </c>
      <c r="O824" s="6"/>
      <c r="P824">
        <v>3</v>
      </c>
      <c r="AD824" s="6"/>
      <c r="AE824" t="s">
        <v>42</v>
      </c>
      <c r="AU824" s="6"/>
      <c r="AV824" t="s">
        <v>0</v>
      </c>
      <c r="GB824">
        <v>2</v>
      </c>
    </row>
    <row r="825" spans="1:184">
      <c r="A825">
        <v>1</v>
      </c>
      <c r="O825" s="6"/>
      <c r="P825">
        <v>3</v>
      </c>
      <c r="AD825" s="6"/>
      <c r="AE825" t="s">
        <v>42</v>
      </c>
      <c r="AU825" s="6"/>
      <c r="AV825" t="s">
        <v>0</v>
      </c>
      <c r="GB825">
        <v>2</v>
      </c>
    </row>
    <row r="826" spans="1:184">
      <c r="A826">
        <v>1</v>
      </c>
      <c r="O826" s="6"/>
      <c r="P826">
        <v>3</v>
      </c>
      <c r="AD826" s="6"/>
      <c r="AE826" t="s">
        <v>42</v>
      </c>
      <c r="AU826" s="6"/>
      <c r="AV826" t="s">
        <v>0</v>
      </c>
      <c r="GB826">
        <v>2</v>
      </c>
    </row>
    <row r="827" spans="1:184">
      <c r="A827">
        <v>1</v>
      </c>
      <c r="O827" s="6"/>
      <c r="P827">
        <v>3</v>
      </c>
      <c r="AD827" s="6"/>
      <c r="AE827" t="s">
        <v>42</v>
      </c>
      <c r="AU827" s="6"/>
      <c r="AV827" t="s">
        <v>0</v>
      </c>
      <c r="GB827">
        <v>2</v>
      </c>
    </row>
    <row r="828" spans="1:184">
      <c r="A828">
        <v>1</v>
      </c>
      <c r="O828" s="6"/>
      <c r="P828">
        <v>3</v>
      </c>
      <c r="AD828" s="6"/>
      <c r="AE828" t="s">
        <v>42</v>
      </c>
      <c r="AU828" s="6"/>
      <c r="AV828" t="s">
        <v>0</v>
      </c>
      <c r="GB828">
        <v>2</v>
      </c>
    </row>
    <row r="829" spans="1:184">
      <c r="A829">
        <v>1</v>
      </c>
      <c r="O829" s="6"/>
      <c r="P829">
        <v>3</v>
      </c>
      <c r="AD829" s="6"/>
      <c r="AE829" t="s">
        <v>42</v>
      </c>
      <c r="AU829" s="6"/>
      <c r="AV829" t="s">
        <v>0</v>
      </c>
      <c r="GB829">
        <v>2</v>
      </c>
    </row>
    <row r="830" spans="1:184">
      <c r="A830">
        <v>1</v>
      </c>
      <c r="O830" s="6"/>
      <c r="P830">
        <v>3</v>
      </c>
      <c r="AD830" s="6"/>
      <c r="AE830" t="s">
        <v>42</v>
      </c>
      <c r="AU830" s="6"/>
      <c r="AV830" t="s">
        <v>0</v>
      </c>
      <c r="GB830">
        <v>2</v>
      </c>
    </row>
    <row r="831" spans="1:184">
      <c r="A831">
        <v>1</v>
      </c>
      <c r="O831" s="6"/>
      <c r="P831">
        <v>3</v>
      </c>
      <c r="AD831" s="6"/>
      <c r="AE831" t="s">
        <v>42</v>
      </c>
      <c r="AU831" s="6"/>
      <c r="AV831" t="s">
        <v>0</v>
      </c>
      <c r="GB831">
        <v>2</v>
      </c>
    </row>
    <row r="832" spans="1:184">
      <c r="A832">
        <v>1</v>
      </c>
      <c r="O832" s="6"/>
      <c r="P832">
        <v>3</v>
      </c>
      <c r="AD832" s="6"/>
      <c r="AE832" t="s">
        <v>42</v>
      </c>
      <c r="AU832" s="6"/>
      <c r="AV832" t="s">
        <v>0</v>
      </c>
      <c r="GB832">
        <v>2</v>
      </c>
    </row>
    <row r="833" spans="1:184">
      <c r="A833">
        <v>1</v>
      </c>
      <c r="O833" s="6"/>
      <c r="P833">
        <v>3</v>
      </c>
      <c r="AD833" s="6"/>
      <c r="AE833" t="s">
        <v>42</v>
      </c>
      <c r="AU833" s="6"/>
      <c r="AV833" t="s">
        <v>0</v>
      </c>
      <c r="GB833">
        <v>2</v>
      </c>
    </row>
    <row r="834" spans="1:184">
      <c r="A834">
        <v>1</v>
      </c>
      <c r="O834" s="6"/>
      <c r="P834">
        <v>3</v>
      </c>
      <c r="AD834" s="6"/>
      <c r="AE834" t="s">
        <v>42</v>
      </c>
      <c r="AU834" s="6"/>
      <c r="AV834" t="s">
        <v>0</v>
      </c>
      <c r="GB834">
        <v>2</v>
      </c>
    </row>
    <row r="835" spans="1:184">
      <c r="A835">
        <v>1</v>
      </c>
      <c r="O835" s="6"/>
      <c r="P835">
        <v>3</v>
      </c>
      <c r="AD835" s="6"/>
      <c r="AE835" t="s">
        <v>42</v>
      </c>
      <c r="AU835" s="6"/>
      <c r="AV835" t="s">
        <v>0</v>
      </c>
      <c r="GB835">
        <v>2</v>
      </c>
    </row>
    <row r="836" spans="1:184">
      <c r="A836">
        <v>1</v>
      </c>
      <c r="O836" s="6"/>
      <c r="P836">
        <v>3</v>
      </c>
      <c r="AD836" s="6"/>
      <c r="AE836" t="s">
        <v>42</v>
      </c>
      <c r="AU836" s="6"/>
      <c r="AV836" t="s">
        <v>0</v>
      </c>
      <c r="GB836">
        <v>2</v>
      </c>
    </row>
    <row r="837" spans="1:184">
      <c r="A837">
        <v>1</v>
      </c>
      <c r="O837" s="6"/>
      <c r="P837">
        <v>3</v>
      </c>
      <c r="AD837" s="6"/>
      <c r="AE837" t="s">
        <v>42</v>
      </c>
      <c r="AU837" s="6"/>
      <c r="AV837" t="s">
        <v>0</v>
      </c>
      <c r="GB837">
        <v>2</v>
      </c>
    </row>
    <row r="838" spans="1:184">
      <c r="A838">
        <v>1</v>
      </c>
      <c r="O838" s="6"/>
      <c r="P838">
        <v>3</v>
      </c>
      <c r="AD838" s="6"/>
      <c r="AE838" t="s">
        <v>42</v>
      </c>
      <c r="AU838" s="6"/>
      <c r="AV838" t="s">
        <v>0</v>
      </c>
      <c r="GB838">
        <v>2</v>
      </c>
    </row>
    <row r="839" spans="1:184">
      <c r="A839">
        <v>1</v>
      </c>
      <c r="O839" s="6"/>
      <c r="P839">
        <v>3</v>
      </c>
      <c r="AD839" s="6"/>
      <c r="AE839" t="s">
        <v>42</v>
      </c>
      <c r="AU839" s="6"/>
      <c r="AV839" t="s">
        <v>0</v>
      </c>
      <c r="GB839">
        <v>2</v>
      </c>
    </row>
    <row r="840" spans="1:184">
      <c r="A840">
        <v>1</v>
      </c>
      <c r="O840" s="6"/>
      <c r="P840">
        <v>3</v>
      </c>
      <c r="AD840" s="6"/>
      <c r="AE840" t="s">
        <v>42</v>
      </c>
      <c r="AU840" s="6"/>
      <c r="AV840" t="s">
        <v>0</v>
      </c>
      <c r="GB840">
        <v>2</v>
      </c>
    </row>
    <row r="841" spans="1:184">
      <c r="A841">
        <v>1</v>
      </c>
      <c r="O841" s="6"/>
      <c r="P841">
        <v>3</v>
      </c>
      <c r="AD841" s="6"/>
      <c r="AE841" t="s">
        <v>42</v>
      </c>
      <c r="AU841" s="6"/>
      <c r="AV841" t="s">
        <v>0</v>
      </c>
      <c r="GB841">
        <v>2</v>
      </c>
    </row>
    <row r="842" spans="1:184">
      <c r="A842">
        <v>1</v>
      </c>
      <c r="O842" s="6"/>
      <c r="P842">
        <v>3</v>
      </c>
      <c r="AD842" s="6"/>
      <c r="AE842" t="s">
        <v>42</v>
      </c>
      <c r="AU842" s="6"/>
      <c r="AV842" t="s">
        <v>0</v>
      </c>
      <c r="GB842">
        <v>2</v>
      </c>
    </row>
    <row r="843" spans="1:184">
      <c r="A843">
        <v>1</v>
      </c>
      <c r="O843" s="6"/>
      <c r="P843">
        <v>3</v>
      </c>
      <c r="AD843" s="6"/>
      <c r="AE843" t="s">
        <v>42</v>
      </c>
      <c r="AU843" s="6"/>
      <c r="AV843" t="s">
        <v>0</v>
      </c>
      <c r="GB843">
        <v>2</v>
      </c>
    </row>
    <row r="844" spans="1:184">
      <c r="A844">
        <v>1</v>
      </c>
      <c r="O844" s="6"/>
      <c r="P844">
        <v>3</v>
      </c>
      <c r="AD844" s="6"/>
      <c r="AE844" t="s">
        <v>42</v>
      </c>
      <c r="AU844" s="6"/>
      <c r="AV844" t="s">
        <v>0</v>
      </c>
      <c r="GB844">
        <v>2</v>
      </c>
    </row>
    <row r="845" spans="1:184">
      <c r="A845">
        <v>1</v>
      </c>
      <c r="O845" s="6"/>
      <c r="P845">
        <v>3</v>
      </c>
      <c r="AD845" s="6"/>
      <c r="AE845" t="s">
        <v>42</v>
      </c>
      <c r="AU845" s="6"/>
      <c r="AV845" t="s">
        <v>0</v>
      </c>
      <c r="GB845">
        <v>2</v>
      </c>
    </row>
    <row r="846" spans="1:184">
      <c r="A846">
        <v>1</v>
      </c>
      <c r="O846" s="6"/>
      <c r="P846">
        <v>3</v>
      </c>
      <c r="AD846" s="6"/>
      <c r="AE846" t="s">
        <v>42</v>
      </c>
      <c r="AU846" s="6"/>
      <c r="AV846" t="s">
        <v>0</v>
      </c>
      <c r="GB846">
        <v>2</v>
      </c>
    </row>
    <row r="847" spans="1:184">
      <c r="A847">
        <v>1</v>
      </c>
      <c r="O847" s="6"/>
      <c r="P847">
        <v>3</v>
      </c>
      <c r="AD847" s="6"/>
      <c r="AE847" t="s">
        <v>42</v>
      </c>
      <c r="AU847" s="6"/>
      <c r="AV847" t="s">
        <v>0</v>
      </c>
      <c r="GB847">
        <v>2</v>
      </c>
    </row>
    <row r="848" spans="1:184">
      <c r="A848">
        <v>1</v>
      </c>
      <c r="O848" s="6"/>
      <c r="P848">
        <v>3</v>
      </c>
      <c r="AD848" s="6"/>
      <c r="AE848" t="s">
        <v>42</v>
      </c>
      <c r="AU848" s="6"/>
      <c r="AV848" t="s">
        <v>0</v>
      </c>
      <c r="GB848">
        <v>2</v>
      </c>
    </row>
    <row r="849" spans="1:184">
      <c r="A849">
        <v>1</v>
      </c>
      <c r="O849" s="6"/>
      <c r="P849">
        <v>3</v>
      </c>
      <c r="AD849" s="6"/>
      <c r="AE849" t="s">
        <v>42</v>
      </c>
      <c r="AU849" s="6"/>
      <c r="AV849" t="s">
        <v>0</v>
      </c>
      <c r="GB849">
        <v>2</v>
      </c>
    </row>
    <row r="850" spans="1:184">
      <c r="A850">
        <v>1</v>
      </c>
      <c r="O850" s="6"/>
      <c r="P850">
        <v>3</v>
      </c>
      <c r="AD850" s="6"/>
      <c r="AE850" t="s">
        <v>42</v>
      </c>
      <c r="AU850" s="6"/>
      <c r="AV850" t="s">
        <v>0</v>
      </c>
      <c r="GB850">
        <v>2</v>
      </c>
    </row>
    <row r="851" spans="1:184">
      <c r="A851">
        <v>1</v>
      </c>
      <c r="O851" s="6"/>
      <c r="P851">
        <v>3</v>
      </c>
      <c r="AD851" s="6"/>
      <c r="AE851" t="s">
        <v>42</v>
      </c>
      <c r="AU851" s="6"/>
      <c r="AV851" t="s">
        <v>0</v>
      </c>
      <c r="GB851">
        <v>2</v>
      </c>
    </row>
    <row r="852" spans="1:184">
      <c r="A852">
        <v>1</v>
      </c>
      <c r="O852" s="6"/>
      <c r="P852">
        <v>3</v>
      </c>
      <c r="AD852" s="6"/>
      <c r="AE852" t="s">
        <v>42</v>
      </c>
      <c r="AU852" s="6"/>
      <c r="AV852" t="s">
        <v>0</v>
      </c>
      <c r="GB852">
        <v>2</v>
      </c>
    </row>
    <row r="853" spans="1:184">
      <c r="A853">
        <v>1</v>
      </c>
      <c r="O853" s="6"/>
      <c r="P853">
        <v>3</v>
      </c>
      <c r="AD853" s="6"/>
      <c r="AE853" t="s">
        <v>42</v>
      </c>
      <c r="AU853" s="6"/>
      <c r="AV853" t="s">
        <v>0</v>
      </c>
      <c r="GB853">
        <v>2</v>
      </c>
    </row>
    <row r="854" spans="1:184">
      <c r="A854">
        <v>1</v>
      </c>
      <c r="O854" s="6"/>
      <c r="P854">
        <v>3</v>
      </c>
      <c r="AD854" s="6"/>
      <c r="AE854" t="s">
        <v>42</v>
      </c>
      <c r="AU854" s="6"/>
      <c r="AV854" t="s">
        <v>0</v>
      </c>
      <c r="GB854">
        <v>2</v>
      </c>
    </row>
    <row r="855" spans="1:184">
      <c r="A855">
        <v>1</v>
      </c>
      <c r="O855" s="6"/>
      <c r="P855">
        <v>3</v>
      </c>
      <c r="AD855" s="6"/>
      <c r="AE855" t="s">
        <v>42</v>
      </c>
      <c r="AU855" s="6"/>
      <c r="AV855" t="s">
        <v>0</v>
      </c>
      <c r="GB855">
        <v>2</v>
      </c>
    </row>
    <row r="856" spans="1:184">
      <c r="A856">
        <v>1</v>
      </c>
      <c r="O856" s="6"/>
      <c r="P856">
        <v>3</v>
      </c>
      <c r="AD856" s="6"/>
      <c r="AE856" t="s">
        <v>42</v>
      </c>
      <c r="AU856" s="6"/>
      <c r="AV856" t="s">
        <v>0</v>
      </c>
      <c r="GB856">
        <v>2</v>
      </c>
    </row>
    <row r="857" spans="1:184">
      <c r="A857">
        <v>1</v>
      </c>
      <c r="O857" s="6"/>
      <c r="P857">
        <v>3</v>
      </c>
      <c r="AD857" s="6"/>
      <c r="AE857" t="s">
        <v>42</v>
      </c>
      <c r="AU857" s="6"/>
      <c r="AV857" t="s">
        <v>0</v>
      </c>
      <c r="GB857">
        <v>2</v>
      </c>
    </row>
    <row r="858" spans="1:184">
      <c r="A858">
        <v>1</v>
      </c>
      <c r="O858" s="6"/>
      <c r="P858">
        <v>3</v>
      </c>
      <c r="AD858" s="6"/>
      <c r="AE858" t="s">
        <v>42</v>
      </c>
      <c r="AU858" s="6"/>
      <c r="AV858" t="s">
        <v>0</v>
      </c>
      <c r="GB858">
        <v>2</v>
      </c>
    </row>
    <row r="859" spans="1:184">
      <c r="A859">
        <v>1</v>
      </c>
      <c r="O859" s="6"/>
      <c r="P859">
        <v>3</v>
      </c>
      <c r="AD859" s="6"/>
      <c r="AE859" t="s">
        <v>42</v>
      </c>
      <c r="AU859" s="6"/>
      <c r="AV859" t="s">
        <v>0</v>
      </c>
      <c r="GB859">
        <v>2</v>
      </c>
    </row>
    <row r="860" spans="1:184">
      <c r="A860">
        <v>1</v>
      </c>
      <c r="O860" s="6"/>
      <c r="P860">
        <v>3</v>
      </c>
      <c r="AD860" s="6"/>
      <c r="AE860" t="s">
        <v>42</v>
      </c>
      <c r="AU860" s="6"/>
      <c r="AV860" t="s">
        <v>0</v>
      </c>
      <c r="GB860">
        <v>2</v>
      </c>
    </row>
    <row r="861" spans="1:184">
      <c r="A861">
        <v>1</v>
      </c>
      <c r="O861" s="6"/>
      <c r="P861">
        <v>3</v>
      </c>
      <c r="AD861" s="6"/>
      <c r="AE861" t="s">
        <v>42</v>
      </c>
      <c r="AU861" s="6"/>
      <c r="AV861" t="s">
        <v>0</v>
      </c>
      <c r="GB861">
        <v>2</v>
      </c>
    </row>
    <row r="862" spans="1:184">
      <c r="A862">
        <v>1</v>
      </c>
      <c r="O862" s="6"/>
      <c r="P862">
        <v>3</v>
      </c>
      <c r="AD862" s="6"/>
      <c r="AE862" t="s">
        <v>42</v>
      </c>
      <c r="AU862" s="6"/>
      <c r="AV862" t="s">
        <v>0</v>
      </c>
      <c r="GB862">
        <v>2</v>
      </c>
    </row>
    <row r="863" spans="1:184">
      <c r="A863">
        <v>1</v>
      </c>
      <c r="O863" s="6"/>
      <c r="P863">
        <v>3</v>
      </c>
      <c r="AD863" s="6"/>
      <c r="AE863" t="s">
        <v>42</v>
      </c>
      <c r="AU863" s="6"/>
      <c r="AV863" t="s">
        <v>0</v>
      </c>
      <c r="GB863">
        <v>2</v>
      </c>
    </row>
    <row r="864" spans="1:184">
      <c r="A864">
        <v>1</v>
      </c>
      <c r="O864" s="6"/>
      <c r="P864">
        <v>3</v>
      </c>
      <c r="AD864" s="6"/>
      <c r="AE864" t="s">
        <v>42</v>
      </c>
      <c r="AU864" s="6"/>
      <c r="AV864" t="s">
        <v>0</v>
      </c>
      <c r="GB864">
        <v>2</v>
      </c>
    </row>
    <row r="865" spans="1:184">
      <c r="A865">
        <v>1</v>
      </c>
      <c r="O865" s="6"/>
      <c r="P865">
        <v>3</v>
      </c>
      <c r="AD865" s="6"/>
      <c r="AE865" t="s">
        <v>42</v>
      </c>
      <c r="AU865" s="6"/>
      <c r="AV865" t="s">
        <v>0</v>
      </c>
      <c r="GB865">
        <v>2</v>
      </c>
    </row>
    <row r="866" spans="1:184">
      <c r="A866">
        <v>1</v>
      </c>
      <c r="O866" s="6"/>
      <c r="P866">
        <v>3</v>
      </c>
      <c r="AD866" s="6"/>
      <c r="AE866" t="s">
        <v>42</v>
      </c>
      <c r="AU866" s="6"/>
      <c r="AV866" t="s">
        <v>0</v>
      </c>
      <c r="GB866">
        <v>2</v>
      </c>
    </row>
    <row r="867" spans="1:184">
      <c r="A867">
        <v>1</v>
      </c>
      <c r="O867" s="6"/>
      <c r="P867">
        <v>3</v>
      </c>
      <c r="AD867" s="6"/>
      <c r="AE867" t="s">
        <v>42</v>
      </c>
      <c r="AU867" s="6"/>
      <c r="AV867" t="s">
        <v>0</v>
      </c>
      <c r="GB867">
        <v>2</v>
      </c>
    </row>
    <row r="868" spans="1:184">
      <c r="A868">
        <v>1</v>
      </c>
      <c r="O868" s="6"/>
      <c r="P868">
        <v>3</v>
      </c>
      <c r="AD868" s="6"/>
      <c r="AE868" t="s">
        <v>42</v>
      </c>
      <c r="AU868" s="6"/>
      <c r="AV868" t="s">
        <v>0</v>
      </c>
      <c r="GB868">
        <v>2</v>
      </c>
    </row>
    <row r="869" spans="1:184">
      <c r="A869">
        <v>1</v>
      </c>
      <c r="O869" s="6"/>
      <c r="P869">
        <v>3</v>
      </c>
      <c r="AD869" s="6"/>
      <c r="AE869" t="s">
        <v>42</v>
      </c>
      <c r="AU869" s="6"/>
      <c r="AV869" t="s">
        <v>0</v>
      </c>
      <c r="GB869">
        <v>2</v>
      </c>
    </row>
    <row r="870" spans="1:184">
      <c r="A870">
        <v>1</v>
      </c>
      <c r="O870" s="6"/>
      <c r="P870">
        <v>3</v>
      </c>
      <c r="AD870" s="6"/>
      <c r="AE870" t="s">
        <v>42</v>
      </c>
      <c r="AU870" s="6"/>
      <c r="AV870" t="s">
        <v>0</v>
      </c>
      <c r="GB870">
        <v>2</v>
      </c>
    </row>
    <row r="871" spans="1:184">
      <c r="A871">
        <v>1</v>
      </c>
      <c r="O871" s="6"/>
      <c r="P871">
        <v>3</v>
      </c>
      <c r="AD871" s="6"/>
      <c r="AE871" t="s">
        <v>42</v>
      </c>
      <c r="AU871" s="6"/>
      <c r="AV871" t="s">
        <v>0</v>
      </c>
      <c r="GB871">
        <v>2</v>
      </c>
    </row>
    <row r="872" spans="1:184">
      <c r="A872">
        <v>1</v>
      </c>
      <c r="O872" s="6"/>
      <c r="P872">
        <v>3</v>
      </c>
      <c r="AD872" s="6"/>
      <c r="AE872" t="s">
        <v>42</v>
      </c>
      <c r="AU872" s="6"/>
      <c r="AV872" t="s">
        <v>0</v>
      </c>
      <c r="GB872">
        <v>2</v>
      </c>
    </row>
    <row r="873" spans="1:184">
      <c r="A873">
        <v>1</v>
      </c>
      <c r="O873" s="6"/>
      <c r="P873">
        <v>3</v>
      </c>
      <c r="AD873" s="6"/>
      <c r="AE873" t="s">
        <v>42</v>
      </c>
      <c r="AU873" s="6"/>
      <c r="AV873" t="s">
        <v>0</v>
      </c>
      <c r="GB873">
        <v>2</v>
      </c>
    </row>
    <row r="874" spans="1:184">
      <c r="A874">
        <v>1</v>
      </c>
      <c r="O874" s="6"/>
      <c r="P874">
        <v>3</v>
      </c>
      <c r="AD874" s="6"/>
      <c r="AE874" t="s">
        <v>42</v>
      </c>
      <c r="AU874" s="6"/>
      <c r="AV874" t="s">
        <v>0</v>
      </c>
      <c r="GB874">
        <v>2</v>
      </c>
    </row>
    <row r="875" spans="1:184">
      <c r="A875">
        <v>1</v>
      </c>
      <c r="O875" s="6"/>
      <c r="P875">
        <v>3</v>
      </c>
      <c r="AD875" s="6"/>
      <c r="AE875" t="s">
        <v>42</v>
      </c>
      <c r="AU875" s="6"/>
      <c r="AV875" t="s">
        <v>0</v>
      </c>
      <c r="GB875">
        <v>2</v>
      </c>
    </row>
    <row r="876" spans="1:184">
      <c r="A876">
        <v>1</v>
      </c>
      <c r="O876" s="6"/>
      <c r="P876">
        <v>3</v>
      </c>
      <c r="AD876" s="6"/>
      <c r="AE876" t="s">
        <v>42</v>
      </c>
      <c r="AU876" s="6"/>
      <c r="AV876" t="s">
        <v>0</v>
      </c>
      <c r="GB876">
        <v>3</v>
      </c>
    </row>
    <row r="877" spans="1:184">
      <c r="A877">
        <v>1</v>
      </c>
      <c r="O877" s="6"/>
      <c r="P877">
        <v>3</v>
      </c>
      <c r="AD877" s="6"/>
      <c r="AE877" t="s">
        <v>42</v>
      </c>
      <c r="AU877" s="6"/>
      <c r="AV877" t="s">
        <v>0</v>
      </c>
      <c r="GB877">
        <v>3</v>
      </c>
    </row>
    <row r="878" spans="1:184">
      <c r="A878">
        <v>1</v>
      </c>
      <c r="O878" s="6"/>
      <c r="P878">
        <v>3</v>
      </c>
      <c r="AD878" s="6"/>
      <c r="AE878" t="s">
        <v>42</v>
      </c>
      <c r="AU878" s="6"/>
      <c r="AV878" t="s">
        <v>0</v>
      </c>
      <c r="GB878">
        <v>3</v>
      </c>
    </row>
    <row r="879" spans="1:184">
      <c r="A879">
        <v>1</v>
      </c>
      <c r="O879" s="6"/>
      <c r="P879">
        <v>3</v>
      </c>
      <c r="AD879" s="6"/>
      <c r="AE879" t="s">
        <v>42</v>
      </c>
      <c r="AU879" s="6"/>
      <c r="AV879" t="s">
        <v>0</v>
      </c>
      <c r="GB879">
        <v>3</v>
      </c>
    </row>
    <row r="880" spans="1:184">
      <c r="A880">
        <v>1</v>
      </c>
      <c r="O880" s="6"/>
      <c r="P880">
        <v>3</v>
      </c>
      <c r="AD880" s="6"/>
      <c r="AE880" t="s">
        <v>42</v>
      </c>
      <c r="AU880" s="6"/>
      <c r="AV880" t="s">
        <v>0</v>
      </c>
      <c r="GB880">
        <v>3</v>
      </c>
    </row>
    <row r="881" spans="1:184">
      <c r="A881">
        <v>1</v>
      </c>
      <c r="O881" s="6"/>
      <c r="P881">
        <v>3</v>
      </c>
      <c r="AD881" s="6"/>
      <c r="AE881" t="s">
        <v>42</v>
      </c>
      <c r="AU881" s="6"/>
      <c r="AV881" t="s">
        <v>0</v>
      </c>
      <c r="GB881">
        <v>4</v>
      </c>
    </row>
    <row r="882" spans="1:184">
      <c r="A882">
        <v>1</v>
      </c>
      <c r="O882" s="6"/>
      <c r="P882">
        <v>3</v>
      </c>
      <c r="AD882" s="6"/>
      <c r="AE882" t="s">
        <v>42</v>
      </c>
      <c r="AU882" s="6"/>
      <c r="AV882" t="s">
        <v>0</v>
      </c>
      <c r="GB882">
        <v>4</v>
      </c>
    </row>
    <row r="883" spans="1:184">
      <c r="A883">
        <v>1</v>
      </c>
      <c r="O883" s="6"/>
      <c r="P883">
        <v>3</v>
      </c>
      <c r="AD883" s="6"/>
      <c r="AE883" t="s">
        <v>42</v>
      </c>
      <c r="AU883" s="6"/>
      <c r="AV883" t="s">
        <v>0</v>
      </c>
      <c r="GB883">
        <v>4</v>
      </c>
    </row>
    <row r="884" spans="1:184">
      <c r="A884">
        <v>1</v>
      </c>
      <c r="O884" s="6"/>
      <c r="P884">
        <v>3</v>
      </c>
      <c r="AD884" s="6"/>
      <c r="AE884" t="s">
        <v>42</v>
      </c>
      <c r="AU884" s="6"/>
      <c r="AV884" t="s">
        <v>0</v>
      </c>
      <c r="GB884">
        <v>4</v>
      </c>
    </row>
    <row r="885" spans="1:184">
      <c r="A885">
        <v>1</v>
      </c>
      <c r="O885" s="6"/>
      <c r="P885">
        <v>3</v>
      </c>
      <c r="AD885" s="6"/>
      <c r="AE885" t="s">
        <v>42</v>
      </c>
      <c r="AU885" s="6"/>
      <c r="AV885" t="s">
        <v>0</v>
      </c>
      <c r="GB885">
        <v>5</v>
      </c>
    </row>
    <row r="886" spans="1:184">
      <c r="A886">
        <v>1</v>
      </c>
      <c r="O886" s="6"/>
      <c r="P886">
        <v>3</v>
      </c>
      <c r="AD886" s="6"/>
      <c r="AE886" t="s">
        <v>42</v>
      </c>
      <c r="AU886" s="6"/>
      <c r="AV886" t="s">
        <v>0</v>
      </c>
      <c r="GB886">
        <v>5</v>
      </c>
    </row>
    <row r="887" spans="1:184">
      <c r="A887">
        <v>1</v>
      </c>
      <c r="O887" s="6"/>
      <c r="P887">
        <v>3</v>
      </c>
      <c r="AD887" s="6"/>
      <c r="AE887" t="s">
        <v>42</v>
      </c>
      <c r="AU887" s="6"/>
      <c r="AV887" t="s">
        <v>0</v>
      </c>
      <c r="GB887">
        <v>5</v>
      </c>
    </row>
    <row r="888" spans="1:184">
      <c r="A888">
        <v>1</v>
      </c>
      <c r="O888" s="6"/>
      <c r="P888">
        <v>3</v>
      </c>
      <c r="AD888" s="6"/>
      <c r="AE888" t="s">
        <v>42</v>
      </c>
      <c r="AU888" s="6"/>
      <c r="AV888" t="s">
        <v>0</v>
      </c>
      <c r="GB888">
        <v>5</v>
      </c>
    </row>
    <row r="889" spans="1:184">
      <c r="A889">
        <v>1</v>
      </c>
      <c r="O889" s="6"/>
      <c r="P889">
        <v>3</v>
      </c>
      <c r="AD889" s="6"/>
      <c r="AE889" t="s">
        <v>42</v>
      </c>
      <c r="AU889" s="6"/>
      <c r="AV889" t="s">
        <v>0</v>
      </c>
      <c r="GB889">
        <v>5</v>
      </c>
    </row>
    <row r="890" spans="1:184">
      <c r="A890">
        <v>1</v>
      </c>
      <c r="O890" s="6"/>
      <c r="P890">
        <v>3</v>
      </c>
      <c r="AD890" s="6"/>
      <c r="AE890" t="s">
        <v>42</v>
      </c>
      <c r="AU890" s="6"/>
      <c r="AV890" t="s">
        <v>0</v>
      </c>
      <c r="GB890">
        <v>6</v>
      </c>
    </row>
  </sheetData>
  <sortState xmlns:xlrd2="http://schemas.microsoft.com/office/spreadsheetml/2017/richdata2" ref="DZ2:DZ890">
    <sortCondition ref="DZ2:DZ890"/>
  </sortState>
  <mergeCells count="2">
    <mergeCell ref="W3:Y3"/>
    <mergeCell ref="Z3:AB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5167-FB9D-4C1B-85D8-0082364EA67C}">
  <dimension ref="B1:G133"/>
  <sheetViews>
    <sheetView topLeftCell="A110" zoomScale="97" workbookViewId="0">
      <selection activeCell="G10" sqref="G10"/>
    </sheetView>
  </sheetViews>
  <sheetFormatPr defaultColWidth="13.42578125" defaultRowHeight="15"/>
  <cols>
    <col min="1" max="1" width="9.85546875" customWidth="1"/>
    <col min="2" max="2" width="24.85546875" customWidth="1"/>
    <col min="3" max="4" width="13.140625" customWidth="1"/>
    <col min="5" max="5" width="15.140625" customWidth="1"/>
    <col min="6" max="6" width="11.5703125" bestFit="1" customWidth="1"/>
    <col min="7" max="7" width="21.85546875" bestFit="1" customWidth="1"/>
    <col min="8" max="10" width="10.42578125" customWidth="1"/>
    <col min="11" max="11" width="9.85546875" customWidth="1"/>
  </cols>
  <sheetData>
    <row r="1" spans="2:7">
      <c r="B1" s="62" t="s">
        <v>184</v>
      </c>
      <c r="C1" s="62"/>
      <c r="D1" s="62"/>
      <c r="E1" s="62"/>
      <c r="F1" s="62"/>
      <c r="G1" s="62"/>
    </row>
    <row r="2" spans="2:7">
      <c r="B2" s="62"/>
      <c r="C2" s="62"/>
      <c r="D2" s="62"/>
      <c r="E2" s="62"/>
      <c r="F2" s="62"/>
      <c r="G2" s="62"/>
    </row>
    <row r="3" spans="2:7">
      <c r="B3" s="54" t="s">
        <v>121</v>
      </c>
    </row>
    <row r="4" spans="2:7">
      <c r="C4" t="s">
        <v>118</v>
      </c>
      <c r="D4" t="s">
        <v>119</v>
      </c>
      <c r="E4" t="s">
        <v>18</v>
      </c>
    </row>
    <row r="5" spans="2:7">
      <c r="B5" s="67" t="s">
        <v>42</v>
      </c>
      <c r="C5" s="56">
        <v>468</v>
      </c>
      <c r="D5" s="56">
        <v>109</v>
      </c>
      <c r="E5" s="56">
        <v>577</v>
      </c>
    </row>
    <row r="6" spans="2:7">
      <c r="B6" s="67" t="s">
        <v>41</v>
      </c>
      <c r="C6" s="56">
        <v>81</v>
      </c>
      <c r="D6" s="56">
        <v>231</v>
      </c>
      <c r="E6" s="56">
        <v>312</v>
      </c>
    </row>
    <row r="7" spans="2:7">
      <c r="B7" s="55" t="s">
        <v>18</v>
      </c>
      <c r="C7" s="56">
        <v>549</v>
      </c>
      <c r="D7" s="56">
        <v>340</v>
      </c>
      <c r="E7" s="56">
        <v>889</v>
      </c>
    </row>
    <row r="10" spans="2:7">
      <c r="B10" s="54" t="s">
        <v>122</v>
      </c>
    </row>
    <row r="11" spans="2:7">
      <c r="C11" t="s">
        <v>118</v>
      </c>
      <c r="D11" t="s">
        <v>119</v>
      </c>
      <c r="E11" t="s">
        <v>18</v>
      </c>
    </row>
    <row r="12" spans="2:7">
      <c r="B12" s="67" t="s">
        <v>42</v>
      </c>
      <c r="C12" s="57">
        <v>0.52643419572553429</v>
      </c>
      <c r="D12" s="57">
        <v>0.12260967379077616</v>
      </c>
      <c r="E12" s="57">
        <v>0.64904386951631043</v>
      </c>
    </row>
    <row r="13" spans="2:7">
      <c r="B13" s="67" t="s">
        <v>41</v>
      </c>
      <c r="C13" s="57">
        <v>9.1113610798650171E-2</v>
      </c>
      <c r="D13" s="57">
        <v>0.25984251968503935</v>
      </c>
      <c r="E13" s="57">
        <v>0.35095613048368957</v>
      </c>
    </row>
    <row r="14" spans="2:7">
      <c r="B14" s="55" t="s">
        <v>18</v>
      </c>
      <c r="C14" s="57">
        <v>0.61754780652418451</v>
      </c>
      <c r="D14" s="57">
        <v>0.38245219347581555</v>
      </c>
      <c r="E14" s="57">
        <v>1</v>
      </c>
    </row>
    <row r="16" spans="2:7">
      <c r="B16" s="2" t="s">
        <v>123</v>
      </c>
      <c r="E16" s="2" t="s">
        <v>142</v>
      </c>
    </row>
    <row r="17" spans="2:5">
      <c r="B17" s="1" t="s">
        <v>124</v>
      </c>
      <c r="C17" s="60">
        <f>GETPIVOTDATA("[Measures].[Count of Superviviente]",$B$10,"[Range].[Sexo]","[Range].[Sexo].&amp;[hombre]")</f>
        <v>0.64904386951631043</v>
      </c>
      <c r="D17" s="61">
        <f>C17</f>
        <v>0.64904386951631043</v>
      </c>
      <c r="E17" s="58" t="s">
        <v>130</v>
      </c>
    </row>
    <row r="18" spans="2:5">
      <c r="B18" s="1" t="s">
        <v>125</v>
      </c>
      <c r="C18" s="60">
        <f>GETPIVOTDATA("[Measures].[Count of Superviviente]",$B$10,"[Range].[Sexo]","[Range].[Sexo].&amp;[mujer]")</f>
        <v>0.35095613048368957</v>
      </c>
      <c r="D18" s="61">
        <f t="shared" ref="D18:D30" si="0">C18</f>
        <v>0.35095613048368957</v>
      </c>
      <c r="E18" s="58" t="s">
        <v>131</v>
      </c>
    </row>
    <row r="19" spans="2:5">
      <c r="B19" s="1" t="s">
        <v>126</v>
      </c>
      <c r="C19" s="60">
        <f>GETPIVOTDATA("[Measures].[Count of Superviviente]",$B$10,"[Range].[Superviviente]","[Range].[Superviviente].&amp;[1]")</f>
        <v>0.38245219347581555</v>
      </c>
      <c r="D19" s="61">
        <f t="shared" si="0"/>
        <v>0.38245219347581555</v>
      </c>
      <c r="E19" s="58" t="s">
        <v>132</v>
      </c>
    </row>
    <row r="20" spans="2:5">
      <c r="B20" s="1" t="s">
        <v>127</v>
      </c>
      <c r="C20" s="60">
        <f>GETPIVOTDATA("[Measures].[Count of Superviviente]",$B$10,"[Range].[Superviviente]","[Range].[Superviviente].&amp;[0]")</f>
        <v>0.61754780652418451</v>
      </c>
      <c r="D20" s="61">
        <f t="shared" si="0"/>
        <v>0.61754780652418451</v>
      </c>
      <c r="E20" s="58" t="s">
        <v>133</v>
      </c>
    </row>
    <row r="21" spans="2:5">
      <c r="D21" s="61"/>
    </row>
    <row r="22" spans="2:5">
      <c r="B22" s="2" t="s">
        <v>134</v>
      </c>
      <c r="D22" s="61"/>
      <c r="E22" s="2" t="s">
        <v>142</v>
      </c>
    </row>
    <row r="23" spans="2:5">
      <c r="B23" s="1" t="s">
        <v>135</v>
      </c>
      <c r="C23" s="60">
        <f>GETPIVOTDATA("[Measures].[Count of Superviviente]",$B$10,"[Range].[Sexo]","[Range].[Sexo].&amp;[hombre]","[Range].[Superviviente]","[Range].[Superviviente].&amp;[0]")</f>
        <v>0.52643419572553429</v>
      </c>
      <c r="D23" s="61">
        <f t="shared" si="0"/>
        <v>0.52643419572553429</v>
      </c>
      <c r="E23" s="58" t="s">
        <v>139</v>
      </c>
    </row>
    <row r="24" spans="2:5">
      <c r="B24" s="1" t="s">
        <v>136</v>
      </c>
      <c r="C24" s="60">
        <f>GETPIVOTDATA("[Measures].[Count of Superviviente]",$B$10,"[Range].[Sexo]","[Range].[Sexo].&amp;[hombre]","[Range].[Superviviente]","[Range].[Superviviente].&amp;[1]")</f>
        <v>0.12260967379077616</v>
      </c>
      <c r="D24" s="61">
        <f t="shared" si="0"/>
        <v>0.12260967379077616</v>
      </c>
      <c r="E24" s="58" t="s">
        <v>139</v>
      </c>
    </row>
    <row r="25" spans="2:5">
      <c r="B25" s="1" t="s">
        <v>137</v>
      </c>
      <c r="C25" s="60">
        <f>GETPIVOTDATA("[Measures].[Count of Superviviente]",$B$10,"[Range].[Sexo]","[Range].[Sexo].&amp;[mujer]","[Range].[Superviviente]","[Range].[Superviviente].&amp;[0]")</f>
        <v>9.1113610798650171E-2</v>
      </c>
      <c r="D25" s="61">
        <f t="shared" si="0"/>
        <v>9.1113610798650171E-2</v>
      </c>
      <c r="E25" s="58" t="s">
        <v>140</v>
      </c>
    </row>
    <row r="26" spans="2:5">
      <c r="B26" s="1" t="s">
        <v>138</v>
      </c>
      <c r="C26" s="60">
        <f>GETPIVOTDATA("[Measures].[Count of Superviviente]",$B$10,"[Range].[Sexo]","[Range].[Sexo].&amp;[mujer]","[Range].[Superviviente]","[Range].[Superviviente].&amp;[1]")</f>
        <v>0.25984251968503935</v>
      </c>
      <c r="D26" s="61">
        <f t="shared" si="0"/>
        <v>0.25984251968503935</v>
      </c>
      <c r="E26" s="58" t="s">
        <v>141</v>
      </c>
    </row>
    <row r="27" spans="2:5">
      <c r="D27" s="61"/>
    </row>
    <row r="28" spans="2:5">
      <c r="B28" s="2" t="s">
        <v>145</v>
      </c>
      <c r="D28" s="61"/>
      <c r="E28" s="2" t="s">
        <v>142</v>
      </c>
    </row>
    <row r="29" spans="2:5">
      <c r="B29" s="1" t="s">
        <v>128</v>
      </c>
      <c r="C29" s="57">
        <f>GETPIVOTDATA("[Measures].[Count of Superviviente]",$B$10,"[Range].[Sexo]","[Range].[Sexo].&amp;[mujer]","[Range].[Superviviente]","[Range].[Superviviente].&amp;[1]")/GETPIVOTDATA("[Measures].[Count of Superviviente]",$B$10,"[Range].[Sexo]","[Range].[Sexo].&amp;[mujer]")</f>
        <v>0.74038461538461531</v>
      </c>
      <c r="D29" s="61">
        <f t="shared" si="0"/>
        <v>0.74038461538461531</v>
      </c>
      <c r="E29" s="58" t="s">
        <v>143</v>
      </c>
    </row>
    <row r="30" spans="2:5">
      <c r="B30" s="1" t="s">
        <v>129</v>
      </c>
      <c r="C30" s="57">
        <f>GETPIVOTDATA("[Measures].[Count of Superviviente]",$B$10,"[Range].[Sexo]","[Range].[Sexo].&amp;[hombre]","[Range].[Superviviente]","[Range].[Superviviente].&amp;[1]")/GETPIVOTDATA("[Measures].[Count of Superviviente]",$B$10,"[Range].[Sexo]","[Range].[Sexo].&amp;[hombre]")</f>
        <v>0.18890814558058927</v>
      </c>
      <c r="D30" s="61">
        <f t="shared" si="0"/>
        <v>0.18890814558058927</v>
      </c>
      <c r="E30" s="58" t="s">
        <v>144</v>
      </c>
    </row>
    <row r="32" spans="2:5">
      <c r="B32" s="2" t="s">
        <v>146</v>
      </c>
    </row>
    <row r="33" spans="2:7">
      <c r="B33" t="s">
        <v>149</v>
      </c>
    </row>
    <row r="34" spans="2:7">
      <c r="B34" t="s">
        <v>148</v>
      </c>
    </row>
    <row r="35" spans="2:7">
      <c r="B35" t="s">
        <v>150</v>
      </c>
    </row>
    <row r="36" spans="2:7">
      <c r="B36" t="s">
        <v>147</v>
      </c>
    </row>
    <row r="37" spans="2:7" s="66" customFormat="1" ht="9.75" customHeight="1"/>
    <row r="38" spans="2:7" s="66" customFormat="1" ht="9.75" customHeight="1"/>
    <row r="39" spans="2:7">
      <c r="B39" s="62" t="s">
        <v>183</v>
      </c>
      <c r="C39" s="62"/>
      <c r="D39" s="62"/>
      <c r="E39" s="62"/>
      <c r="F39" s="62"/>
      <c r="G39" s="62"/>
    </row>
    <row r="40" spans="2:7">
      <c r="B40" s="62"/>
      <c r="C40" s="62"/>
      <c r="D40" s="62"/>
      <c r="E40" s="62"/>
      <c r="F40" s="62"/>
      <c r="G40" s="62"/>
    </row>
    <row r="41" spans="2:7">
      <c r="B41" s="54" t="s">
        <v>121</v>
      </c>
      <c r="C41" s="54"/>
    </row>
    <row r="42" spans="2:7">
      <c r="B42" s="54"/>
      <c r="C42" t="s">
        <v>118</v>
      </c>
      <c r="D42" t="s">
        <v>119</v>
      </c>
      <c r="E42" t="s">
        <v>18</v>
      </c>
    </row>
    <row r="43" spans="2:7">
      <c r="B43" s="67">
        <v>1</v>
      </c>
      <c r="C43" s="56">
        <v>80</v>
      </c>
      <c r="D43" s="56">
        <v>134</v>
      </c>
      <c r="E43" s="56">
        <v>214</v>
      </c>
    </row>
    <row r="44" spans="2:7">
      <c r="B44" s="67">
        <v>2</v>
      </c>
      <c r="C44" s="56">
        <v>97</v>
      </c>
      <c r="D44" s="56">
        <v>87</v>
      </c>
      <c r="E44" s="56">
        <v>184</v>
      </c>
    </row>
    <row r="45" spans="2:7">
      <c r="B45" s="67">
        <v>3</v>
      </c>
      <c r="C45" s="56">
        <v>372</v>
      </c>
      <c r="D45" s="56">
        <v>119</v>
      </c>
      <c r="E45" s="56">
        <v>491</v>
      </c>
    </row>
    <row r="46" spans="2:7">
      <c r="B46" s="55" t="s">
        <v>18</v>
      </c>
      <c r="C46" s="56">
        <v>549</v>
      </c>
      <c r="D46" s="56">
        <v>340</v>
      </c>
      <c r="E46" s="56">
        <v>889</v>
      </c>
    </row>
    <row r="49" spans="2:5">
      <c r="B49" s="54" t="s">
        <v>122</v>
      </c>
    </row>
    <row r="50" spans="2:5">
      <c r="C50" t="s">
        <v>118</v>
      </c>
      <c r="D50" t="s">
        <v>119</v>
      </c>
      <c r="E50" t="s">
        <v>18</v>
      </c>
    </row>
    <row r="51" spans="2:5">
      <c r="B51" s="67" t="s">
        <v>152</v>
      </c>
      <c r="C51" s="57">
        <v>8.9988751406074236E-2</v>
      </c>
      <c r="D51" s="57">
        <v>0.15073115860517436</v>
      </c>
      <c r="E51" s="57">
        <v>0.24071991001124859</v>
      </c>
    </row>
    <row r="52" spans="2:5">
      <c r="B52" s="67" t="s">
        <v>153</v>
      </c>
      <c r="C52" s="57">
        <v>0.10911136107986502</v>
      </c>
      <c r="D52" s="57">
        <v>9.7862767154105731E-2</v>
      </c>
      <c r="E52" s="57">
        <v>0.20697412823397077</v>
      </c>
    </row>
    <row r="53" spans="2:5">
      <c r="B53" s="67" t="s">
        <v>154</v>
      </c>
      <c r="C53" s="57">
        <v>0.41844769403824522</v>
      </c>
      <c r="D53" s="57">
        <v>0.13385826771653545</v>
      </c>
      <c r="E53" s="57">
        <v>0.55230596175478064</v>
      </c>
    </row>
    <row r="54" spans="2:5">
      <c r="B54" s="55" t="s">
        <v>18</v>
      </c>
      <c r="C54" s="57">
        <v>0.61754780652418451</v>
      </c>
      <c r="D54" s="57">
        <v>0.38245219347581555</v>
      </c>
      <c r="E54" s="57">
        <v>1</v>
      </c>
    </row>
    <row r="56" spans="2:5">
      <c r="B56" s="2" t="s">
        <v>123</v>
      </c>
      <c r="E56" s="2" t="s">
        <v>142</v>
      </c>
    </row>
    <row r="57" spans="2:5">
      <c r="B57" s="1" t="s">
        <v>151</v>
      </c>
      <c r="C57" s="60">
        <f>GETPIVOTDATA("[Measures].[Count of Superviviente]",$B$49,"[Range].[Pclase]","[Range].[Pclase].&amp;[1]")</f>
        <v>0.24071991001124859</v>
      </c>
      <c r="D57" s="61">
        <f>C57</f>
        <v>0.24071991001124859</v>
      </c>
      <c r="E57" s="58" t="s">
        <v>157</v>
      </c>
    </row>
    <row r="58" spans="2:5">
      <c r="B58" s="1" t="s">
        <v>155</v>
      </c>
      <c r="C58" s="60">
        <f>GETPIVOTDATA("[Measures].[Count of Superviviente]",$B$49,"[Range].[Pclase]","[Range].[Pclase].&amp;[2]")</f>
        <v>0.20697412823397077</v>
      </c>
      <c r="D58" s="61">
        <f t="shared" ref="D58:D59" si="1">C58</f>
        <v>0.20697412823397077</v>
      </c>
      <c r="E58" s="58" t="s">
        <v>158</v>
      </c>
    </row>
    <row r="59" spans="2:5">
      <c r="B59" s="1" t="s">
        <v>156</v>
      </c>
      <c r="C59" s="60">
        <f>GETPIVOTDATA("[Measures].[Count of Superviviente]",$B$49,"[Range].[Pclase]","[Range].[Pclase].&amp;[3]")</f>
        <v>0.55230596175478064</v>
      </c>
      <c r="D59" s="61">
        <f t="shared" si="1"/>
        <v>0.55230596175478064</v>
      </c>
      <c r="E59" s="58" t="s">
        <v>159</v>
      </c>
    </row>
    <row r="60" spans="2:5">
      <c r="B60" s="1" t="s">
        <v>126</v>
      </c>
      <c r="C60" s="60">
        <f>GETPIVOTDATA("[Measures].[Count of Superviviente]",$B$10,"[Range].[Superviviente]","[Range].[Superviviente].&amp;[1]")</f>
        <v>0.38245219347581555</v>
      </c>
      <c r="D60" s="61">
        <f>C60</f>
        <v>0.38245219347581555</v>
      </c>
      <c r="E60" s="58" t="s">
        <v>132</v>
      </c>
    </row>
    <row r="61" spans="2:5">
      <c r="B61" s="1" t="s">
        <v>127</v>
      </c>
      <c r="C61" s="60">
        <f>GETPIVOTDATA("[Measures].[Count of Superviviente]",$B$10,"[Range].[Superviviente]","[Range].[Superviviente].&amp;[0]")</f>
        <v>0.61754780652418451</v>
      </c>
      <c r="D61" s="61">
        <f t="shared" ref="D61:D74" si="2">C61</f>
        <v>0.61754780652418451</v>
      </c>
      <c r="E61" s="58" t="s">
        <v>133</v>
      </c>
    </row>
    <row r="62" spans="2:5">
      <c r="D62" s="61"/>
    </row>
    <row r="63" spans="2:5">
      <c r="B63" s="2" t="s">
        <v>134</v>
      </c>
      <c r="D63" s="61"/>
      <c r="E63" s="2" t="s">
        <v>142</v>
      </c>
    </row>
    <row r="64" spans="2:5">
      <c r="B64" s="1" t="s">
        <v>160</v>
      </c>
      <c r="C64">
        <f>GETPIVOTDATA("[Measures].[Count of Superviviente]",$B$49,"[Range].[Superviviente]","[Range].[Superviviente].&amp;[0]","[Range].[Pclase]","[Range].[Pclase].&amp;[1]")</f>
        <v>8.9988751406074236E-2</v>
      </c>
      <c r="D64" s="61">
        <f t="shared" si="2"/>
        <v>8.9988751406074236E-2</v>
      </c>
      <c r="E64" s="58" t="s">
        <v>169</v>
      </c>
    </row>
    <row r="65" spans="2:5">
      <c r="B65" s="1" t="s">
        <v>161</v>
      </c>
      <c r="C65">
        <f>GETPIVOTDATA("[Measures].[Count of Superviviente]",$B$49,"[Range].[Superviviente]","[Range].[Superviviente].&amp;[1]","[Range].[Pclase]","[Range].[Pclase].&amp;[1]")</f>
        <v>0.15073115860517436</v>
      </c>
      <c r="D65" s="61">
        <f t="shared" si="2"/>
        <v>0.15073115860517436</v>
      </c>
      <c r="E65" s="58" t="s">
        <v>170</v>
      </c>
    </row>
    <row r="66" spans="2:5">
      <c r="B66" s="1" t="s">
        <v>162</v>
      </c>
      <c r="C66">
        <f>GETPIVOTDATA("[Measures].[Count of Superviviente]",$B$49,"[Range].[Superviviente]","[Range].[Superviviente].&amp;[0]","[Range].[Pclase]","[Range].[Pclase].&amp;[2]")</f>
        <v>0.10911136107986502</v>
      </c>
      <c r="D66" s="61">
        <f t="shared" si="2"/>
        <v>0.10911136107986502</v>
      </c>
      <c r="E66" s="58" t="s">
        <v>171</v>
      </c>
    </row>
    <row r="67" spans="2:5">
      <c r="B67" s="1" t="s">
        <v>163</v>
      </c>
      <c r="C67">
        <f>GETPIVOTDATA("[Measures].[Count of Superviviente]",$B$49,"[Range].[Superviviente]","[Range].[Superviviente].&amp;[1]","[Range].[Pclase]","[Range].[Pclase].&amp;[2]")</f>
        <v>9.7862767154105731E-2</v>
      </c>
      <c r="D67" s="61">
        <f t="shared" si="2"/>
        <v>9.7862767154105731E-2</v>
      </c>
      <c r="E67" s="58" t="s">
        <v>172</v>
      </c>
    </row>
    <row r="68" spans="2:5">
      <c r="B68" s="1" t="s">
        <v>164</v>
      </c>
      <c r="C68">
        <f>GETPIVOTDATA("[Measures].[Count of Superviviente]",$B$49,"[Range].[Superviviente]","[Range].[Superviviente].&amp;[0]","[Range].[Pclase]","[Range].[Pclase].&amp;[3]")</f>
        <v>0.41844769403824522</v>
      </c>
      <c r="D68" s="61">
        <f t="shared" si="2"/>
        <v>0.41844769403824522</v>
      </c>
      <c r="E68" s="58" t="s">
        <v>173</v>
      </c>
    </row>
    <row r="69" spans="2:5">
      <c r="B69" s="1" t="s">
        <v>165</v>
      </c>
      <c r="C69">
        <f>GETPIVOTDATA("[Measures].[Count of Superviviente]",$B$49,"[Range].[Superviviente]","[Range].[Superviviente].&amp;[1]","[Range].[Pclase]","[Range].[Pclase].&amp;[3]")</f>
        <v>0.13385826771653545</v>
      </c>
      <c r="D69" s="61">
        <f t="shared" si="2"/>
        <v>0.13385826771653545</v>
      </c>
      <c r="E69" s="58" t="s">
        <v>174</v>
      </c>
    </row>
    <row r="70" spans="2:5">
      <c r="D70" s="61"/>
    </row>
    <row r="71" spans="2:5">
      <c r="B71" s="2" t="s">
        <v>145</v>
      </c>
      <c r="D71" s="61"/>
      <c r="E71" s="2" t="s">
        <v>142</v>
      </c>
    </row>
    <row r="72" spans="2:5">
      <c r="B72" s="1" t="s">
        <v>166</v>
      </c>
      <c r="C72">
        <f>GETPIVOTDATA("[Measures].[Count of Superviviente]",$B$49,"[Range].[Superviviente]","[Range].[Superviviente].&amp;[1]","[Range].[Pclase]","[Range].[Pclase].&amp;[1]")/GETPIVOTDATA("[Measures].[Count of Superviviente]",$B$49,"[Range].[Pclase]","[Range].[Pclase].&amp;[1]")</f>
        <v>0.62616822429906549</v>
      </c>
      <c r="D72" s="61">
        <f t="shared" si="2"/>
        <v>0.62616822429906549</v>
      </c>
      <c r="E72" s="58" t="s">
        <v>175</v>
      </c>
    </row>
    <row r="73" spans="2:5">
      <c r="B73" s="1" t="s">
        <v>167</v>
      </c>
      <c r="C73">
        <f>GETPIVOTDATA("[Measures].[Count of Superviviente]",$B$49,"[Range].[Superviviente]","[Range].[Superviviente].&amp;[1]","[Range].[Pclase]","[Range].[Pclase].&amp;[2]")/GETPIVOTDATA("[Measures].[Count of Superviviente]",$B$49,"[Range].[Pclase]","[Range].[Pclase].&amp;[2]")</f>
        <v>0.47282608695652167</v>
      </c>
      <c r="D73" s="61">
        <f t="shared" si="2"/>
        <v>0.47282608695652167</v>
      </c>
      <c r="E73" s="58" t="s">
        <v>176</v>
      </c>
    </row>
    <row r="74" spans="2:5">
      <c r="B74" s="1" t="s">
        <v>168</v>
      </c>
      <c r="C74">
        <f>GETPIVOTDATA("[Measures].[Count of Superviviente]",$B$49,"[Range].[Superviviente]","[Range].[Superviviente].&amp;[1]","[Range].[Pclase]","[Range].[Pclase].&amp;[3]")/GETPIVOTDATA("[Measures].[Count of Superviviente]",$B$49,"[Range].[Pclase]","[Range].[Pclase].&amp;[3]")</f>
        <v>0.24236252545824849</v>
      </c>
      <c r="D74" s="61">
        <f t="shared" si="2"/>
        <v>0.24236252545824849</v>
      </c>
      <c r="E74" s="58" t="s">
        <v>177</v>
      </c>
    </row>
    <row r="76" spans="2:5">
      <c r="B76" s="2" t="s">
        <v>146</v>
      </c>
    </row>
    <row r="77" spans="2:5">
      <c r="B77" t="s">
        <v>178</v>
      </c>
    </row>
    <row r="78" spans="2:5">
      <c r="B78" t="s">
        <v>179</v>
      </c>
    </row>
    <row r="79" spans="2:5">
      <c r="B79" t="s">
        <v>180</v>
      </c>
    </row>
    <row r="80" spans="2:5">
      <c r="B80" t="s">
        <v>181</v>
      </c>
    </row>
    <row r="81" spans="2:7">
      <c r="B81" t="s">
        <v>182</v>
      </c>
    </row>
    <row r="82" spans="2:7" s="66" customFormat="1" ht="9.75" customHeight="1"/>
    <row r="83" spans="2:7" s="66" customFormat="1" ht="9.75" customHeight="1"/>
    <row r="84" spans="2:7">
      <c r="B84" s="62" t="s">
        <v>226</v>
      </c>
      <c r="C84" s="62"/>
      <c r="D84" s="62"/>
      <c r="E84" s="62"/>
      <c r="F84" s="62"/>
      <c r="G84" s="62"/>
    </row>
    <row r="85" spans="2:7">
      <c r="B85" s="62"/>
      <c r="C85" s="62"/>
      <c r="D85" s="62"/>
      <c r="E85" s="62"/>
      <c r="F85" s="62"/>
      <c r="G85" s="62"/>
    </row>
    <row r="86" spans="2:7">
      <c r="B86" s="54" t="s">
        <v>120</v>
      </c>
    </row>
    <row r="87" spans="2:7">
      <c r="C87" t="s">
        <v>97</v>
      </c>
      <c r="D87" t="s">
        <v>98</v>
      </c>
      <c r="E87" t="s">
        <v>96</v>
      </c>
      <c r="F87" t="s">
        <v>18</v>
      </c>
    </row>
    <row r="88" spans="2:7">
      <c r="B88" s="67">
        <v>1</v>
      </c>
      <c r="C88" s="56">
        <v>85</v>
      </c>
      <c r="D88" s="56">
        <v>2</v>
      </c>
      <c r="E88" s="56">
        <v>127</v>
      </c>
      <c r="F88" s="56">
        <v>214</v>
      </c>
    </row>
    <row r="89" spans="2:7">
      <c r="B89" s="67">
        <v>2</v>
      </c>
      <c r="C89" s="56">
        <v>17</v>
      </c>
      <c r="D89" s="56">
        <v>3</v>
      </c>
      <c r="E89" s="56">
        <v>164</v>
      </c>
      <c r="F89" s="56">
        <v>184</v>
      </c>
    </row>
    <row r="90" spans="2:7">
      <c r="B90" s="67">
        <v>3</v>
      </c>
      <c r="C90" s="56">
        <v>66</v>
      </c>
      <c r="D90" s="56">
        <v>72</v>
      </c>
      <c r="E90" s="56">
        <v>353</v>
      </c>
      <c r="F90" s="56">
        <v>491</v>
      </c>
    </row>
    <row r="91" spans="2:7">
      <c r="B91" s="55" t="s">
        <v>18</v>
      </c>
      <c r="C91" s="56">
        <v>168</v>
      </c>
      <c r="D91" s="56">
        <v>77</v>
      </c>
      <c r="E91" s="56">
        <v>644</v>
      </c>
      <c r="F91" s="56">
        <v>889</v>
      </c>
    </row>
    <row r="94" spans="2:7">
      <c r="B94" s="63" t="s">
        <v>120</v>
      </c>
      <c r="C94" s="33"/>
      <c r="D94" s="33"/>
      <c r="E94" s="33"/>
      <c r="F94" s="33"/>
    </row>
    <row r="95" spans="2:7">
      <c r="B95" s="33"/>
      <c r="C95" s="33" t="s">
        <v>97</v>
      </c>
      <c r="D95" s="33" t="s">
        <v>98</v>
      </c>
      <c r="E95" s="33" t="s">
        <v>96</v>
      </c>
      <c r="F95" s="33" t="s">
        <v>18</v>
      </c>
    </row>
    <row r="96" spans="2:7">
      <c r="B96" s="68">
        <v>1</v>
      </c>
      <c r="C96" s="57">
        <v>9.5613048368953887E-2</v>
      </c>
      <c r="D96" s="57">
        <v>2.2497187851518562E-3</v>
      </c>
      <c r="E96" s="57">
        <v>0.14285714285714285</v>
      </c>
      <c r="F96" s="57">
        <v>0.24071991001124859</v>
      </c>
    </row>
    <row r="97" spans="2:6">
      <c r="B97" s="68">
        <v>2</v>
      </c>
      <c r="C97" s="57">
        <v>1.9122609673790775E-2</v>
      </c>
      <c r="D97" s="57">
        <v>3.3745781777277839E-3</v>
      </c>
      <c r="E97" s="57">
        <v>0.18447694038245219</v>
      </c>
      <c r="F97" s="57">
        <v>0.20697412823397077</v>
      </c>
    </row>
    <row r="98" spans="2:6">
      <c r="B98" s="68">
        <v>3</v>
      </c>
      <c r="C98" s="57">
        <v>7.4240719910011244E-2</v>
      </c>
      <c r="D98" s="57">
        <v>8.0989876265466818E-2</v>
      </c>
      <c r="E98" s="57">
        <v>0.39707536557930256</v>
      </c>
      <c r="F98" s="57">
        <v>0.55230596175478064</v>
      </c>
    </row>
    <row r="99" spans="2:6">
      <c r="B99" s="64" t="s">
        <v>18</v>
      </c>
      <c r="C99" s="57">
        <v>0.1889763779527559</v>
      </c>
      <c r="D99" s="57">
        <v>8.6614173228346455E-2</v>
      </c>
      <c r="E99" s="57">
        <v>0.72440944881889768</v>
      </c>
      <c r="F99" s="57">
        <v>1</v>
      </c>
    </row>
    <row r="101" spans="2:6">
      <c r="B101" s="2" t="s">
        <v>123</v>
      </c>
      <c r="E101" s="2" t="s">
        <v>142</v>
      </c>
    </row>
    <row r="102" spans="2:6">
      <c r="B102" s="1" t="s">
        <v>151</v>
      </c>
      <c r="C102" s="60">
        <f>GETPIVOTDATA("[Measures].[Count of Superviviente]",$B$49,"[Range].[Pclase]","[Range].[Pclase].&amp;[1]")</f>
        <v>0.24071991001124859</v>
      </c>
      <c r="D102" s="61">
        <f>C102</f>
        <v>0.24071991001124859</v>
      </c>
      <c r="E102" s="58" t="s">
        <v>157</v>
      </c>
    </row>
    <row r="103" spans="2:6">
      <c r="B103" s="1" t="s">
        <v>155</v>
      </c>
      <c r="C103" s="60">
        <f>GETPIVOTDATA("[Measures].[Count of Superviviente]",$B$49,"[Range].[Pclase]","[Range].[Pclase].&amp;[2]")</f>
        <v>0.20697412823397077</v>
      </c>
      <c r="D103" s="61">
        <f t="shared" ref="D103:D119" si="3">C103</f>
        <v>0.20697412823397077</v>
      </c>
      <c r="E103" s="58" t="s">
        <v>158</v>
      </c>
    </row>
    <row r="104" spans="2:6">
      <c r="B104" s="1" t="s">
        <v>156</v>
      </c>
      <c r="C104" s="60">
        <f>GETPIVOTDATA("[Measures].[Count of Superviviente]",$B$49,"[Range].[Pclase]","[Range].[Pclase].&amp;[3]")</f>
        <v>0.55230596175478064</v>
      </c>
      <c r="D104" s="61">
        <f t="shared" si="3"/>
        <v>0.55230596175478064</v>
      </c>
      <c r="E104" s="58" t="s">
        <v>159</v>
      </c>
    </row>
    <row r="105" spans="2:6">
      <c r="B105" s="1" t="s">
        <v>185</v>
      </c>
      <c r="C105" s="60">
        <f>GETPIVOTDATA("[Measures].[Count of Embarque]",$B$94,"[Range].[Embarque]","[Range].[Embarque].&amp;[C]")</f>
        <v>0.1889763779527559</v>
      </c>
      <c r="D105" s="61">
        <f t="shared" si="3"/>
        <v>0.1889763779527559</v>
      </c>
      <c r="E105" s="58" t="s">
        <v>188</v>
      </c>
    </row>
    <row r="106" spans="2:6">
      <c r="B106" s="1" t="s">
        <v>186</v>
      </c>
      <c r="C106" s="60">
        <f>GETPIVOTDATA("[Measures].[Count of Embarque]",$B$94,"[Range].[Embarque]","[Range].[Embarque].&amp;[Q]")</f>
        <v>8.6614173228346455E-2</v>
      </c>
      <c r="D106" s="61">
        <f t="shared" si="3"/>
        <v>8.6614173228346455E-2</v>
      </c>
      <c r="E106" s="58" t="s">
        <v>189</v>
      </c>
    </row>
    <row r="107" spans="2:6">
      <c r="B107" s="1" t="s">
        <v>187</v>
      </c>
      <c r="C107" s="60">
        <f>GETPIVOTDATA("[Measures].[Count of Embarque]",$B$94,"[Range].[Embarque]","[Range].[Embarque].&amp;[S]")</f>
        <v>0.72440944881889768</v>
      </c>
      <c r="D107" s="61">
        <f t="shared" si="3"/>
        <v>0.72440944881889768</v>
      </c>
      <c r="E107" s="58" t="s">
        <v>190</v>
      </c>
    </row>
    <row r="108" spans="2:6">
      <c r="D108" s="61"/>
    </row>
    <row r="109" spans="2:6">
      <c r="B109" s="2" t="s">
        <v>134</v>
      </c>
      <c r="D109" s="61"/>
      <c r="E109" s="2" t="s">
        <v>142</v>
      </c>
    </row>
    <row r="110" spans="2:6">
      <c r="B110" s="1" t="s">
        <v>191</v>
      </c>
      <c r="C110">
        <f>GETPIVOTDATA("[Measures].[Count of Embarque]",$B$94,"[Range].[Pclase]","[Range].[Pclase].&amp;[1]","[Range].[Embarque]","[Range].[Embarque].&amp;[C]")</f>
        <v>9.5613048368953887E-2</v>
      </c>
      <c r="D110" s="61">
        <f t="shared" si="3"/>
        <v>9.5613048368953887E-2</v>
      </c>
      <c r="E110" s="58" t="s">
        <v>200</v>
      </c>
    </row>
    <row r="111" spans="2:6">
      <c r="B111" s="1" t="s">
        <v>192</v>
      </c>
      <c r="C111">
        <f>GETPIVOTDATA("[Measures].[Count of Embarque]",$B$94,"[Range].[Pclase]","[Range].[Pclase].&amp;[1]","[Range].[Embarque]","[Range].[Embarque].&amp;[Q]")</f>
        <v>2.2497187851518562E-3</v>
      </c>
      <c r="D111" s="61">
        <f t="shared" si="3"/>
        <v>2.2497187851518562E-3</v>
      </c>
      <c r="E111" s="58" t="s">
        <v>201</v>
      </c>
    </row>
    <row r="112" spans="2:6">
      <c r="B112" s="1" t="s">
        <v>193</v>
      </c>
      <c r="C112">
        <f>GETPIVOTDATA("[Measures].[Count of Embarque]",$B$94,"[Range].[Pclase]","[Range].[Pclase].&amp;[1]","[Range].[Embarque]","[Range].[Embarque].&amp;[S]")</f>
        <v>0.14285714285714285</v>
      </c>
      <c r="D112" s="61">
        <f t="shared" si="3"/>
        <v>0.14285714285714285</v>
      </c>
      <c r="E112" s="58" t="s">
        <v>202</v>
      </c>
    </row>
    <row r="113" spans="2:5">
      <c r="B113" s="1" t="s">
        <v>194</v>
      </c>
      <c r="C113">
        <f>GETPIVOTDATA("[Measures].[Count of Embarque]",$B$94,"[Range].[Pclase]","[Range].[Pclase].&amp;[2]","[Range].[Embarque]","[Range].[Embarque].&amp;[C]")</f>
        <v>1.9122609673790775E-2</v>
      </c>
      <c r="D113" s="61">
        <f t="shared" si="3"/>
        <v>1.9122609673790775E-2</v>
      </c>
      <c r="E113" s="58" t="s">
        <v>203</v>
      </c>
    </row>
    <row r="114" spans="2:5">
      <c r="B114" s="1" t="s">
        <v>195</v>
      </c>
      <c r="C114">
        <f>GETPIVOTDATA("[Measures].[Count of Embarque]",$B$94,"[Range].[Pclase]","[Range].[Pclase].&amp;[2]","[Range].[Embarque]","[Range].[Embarque].&amp;[Q]")</f>
        <v>3.3745781777277839E-3</v>
      </c>
      <c r="D114" s="61">
        <f t="shared" si="3"/>
        <v>3.3745781777277839E-3</v>
      </c>
      <c r="E114" s="58" t="s">
        <v>204</v>
      </c>
    </row>
    <row r="115" spans="2:5">
      <c r="B115" s="1" t="s">
        <v>196</v>
      </c>
      <c r="C115">
        <f>GETPIVOTDATA("[Measures].[Count of Embarque]",$B$94,"[Range].[Pclase]","[Range].[Pclase].&amp;[2]","[Range].[Embarque]","[Range].[Embarque].&amp;[S]")</f>
        <v>0.18447694038245219</v>
      </c>
      <c r="D115" s="61">
        <f t="shared" si="3"/>
        <v>0.18447694038245219</v>
      </c>
      <c r="E115" s="58" t="s">
        <v>205</v>
      </c>
    </row>
    <row r="116" spans="2:5">
      <c r="B116" s="1" t="s">
        <v>197</v>
      </c>
      <c r="C116">
        <f>GETPIVOTDATA("[Measures].[Count of Embarque]",$B$94,"[Range].[Pclase]","[Range].[Pclase].&amp;[3]","[Range].[Embarque]","[Range].[Embarque].&amp;[C]")</f>
        <v>7.4240719910011244E-2</v>
      </c>
      <c r="D116" s="61">
        <f t="shared" si="3"/>
        <v>7.4240719910011244E-2</v>
      </c>
      <c r="E116" s="58" t="s">
        <v>206</v>
      </c>
    </row>
    <row r="117" spans="2:5">
      <c r="B117" s="1" t="s">
        <v>198</v>
      </c>
      <c r="C117" s="57">
        <f>GETPIVOTDATA("[Measures].[Count of Embarque]",$B$94,"[Range].[Pclase]","[Range].[Pclase].&amp;[3]","[Range].[Embarque]","[Range].[Embarque].&amp;[Q]")</f>
        <v>8.0989876265466818E-2</v>
      </c>
      <c r="D117" s="61">
        <f t="shared" si="3"/>
        <v>8.0989876265466818E-2</v>
      </c>
      <c r="E117" s="58" t="s">
        <v>207</v>
      </c>
    </row>
    <row r="118" spans="2:5">
      <c r="B118" s="1" t="s">
        <v>199</v>
      </c>
      <c r="C118">
        <f>GETPIVOTDATA("[Measures].[Count of Embarque]",$B$94,"[Range].[Pclase]","[Range].[Pclase].&amp;[3]","[Range].[Embarque]","[Range].[Embarque].&amp;[S]")</f>
        <v>0.39707536557930256</v>
      </c>
      <c r="D118" s="61">
        <f t="shared" si="3"/>
        <v>0.39707536557930256</v>
      </c>
      <c r="E118" s="58" t="s">
        <v>208</v>
      </c>
    </row>
    <row r="120" spans="2:5">
      <c r="B120" s="2" t="s">
        <v>145</v>
      </c>
      <c r="D120" s="61"/>
      <c r="E120" s="2" t="s">
        <v>142</v>
      </c>
    </row>
    <row r="121" spans="2:5">
      <c r="B121" s="1" t="s">
        <v>209</v>
      </c>
      <c r="C121">
        <f>GETPIVOTDATA("[Measures].[Count of Embarque]",$B$94,"[Range].[Pclase]","[Range].[Pclase].&amp;[1]","[Range].[Embarque]","[Range].[Embarque].&amp;[C]")/GETPIVOTDATA("[Measures].[Count of Embarque]",$B$94,"[Range].[Pclase]","[Range].[Pclase].&amp;[1]")</f>
        <v>0.39719626168224303</v>
      </c>
      <c r="D121" s="61">
        <f>C121</f>
        <v>0.39719626168224303</v>
      </c>
      <c r="E121" s="58" t="s">
        <v>215</v>
      </c>
    </row>
    <row r="122" spans="2:5">
      <c r="B122" s="1" t="s">
        <v>210</v>
      </c>
      <c r="C122">
        <f>GETPIVOTDATA("[Measures].[Count of Embarque]",$B$94,"[Range].[Pclase]","[Range].[Pclase].&amp;[1]","[Range].[Embarque]","[Range].[Embarque].&amp;[Q]")/GETPIVOTDATA("[Measures].[Count of Embarque]",$B$94,"[Range].[Pclase]","[Range].[Pclase].&amp;[1]")</f>
        <v>9.3457943925233655E-3</v>
      </c>
      <c r="D122" s="61">
        <f>C122</f>
        <v>9.3457943925233655E-3</v>
      </c>
      <c r="E122" s="58" t="s">
        <v>216</v>
      </c>
    </row>
    <row r="123" spans="2:5">
      <c r="B123" s="1" t="s">
        <v>211</v>
      </c>
      <c r="C123">
        <f>GETPIVOTDATA("[Measures].[Count of Embarque]",$B$94,"[Range].[Pclase]","[Range].[Pclase].&amp;[1]","[Range].[Embarque]","[Range].[Embarque].&amp;[S]")/GETPIVOTDATA("[Measures].[Count of Embarque]",$B$94,"[Range].[Pclase]","[Range].[Pclase].&amp;[1]")</f>
        <v>0.59345794392523366</v>
      </c>
      <c r="D123" s="61">
        <f>C123</f>
        <v>0.59345794392523366</v>
      </c>
      <c r="E123" s="58" t="s">
        <v>217</v>
      </c>
    </row>
    <row r="124" spans="2:5">
      <c r="B124" s="1" t="s">
        <v>212</v>
      </c>
      <c r="C124">
        <f>GETPIVOTDATA("[Measures].[Count of Embarque]",$B$94,"[Range].[Pclase]","[Range].[Pclase].&amp;[3]","[Range].[Embarque]","[Range].[Embarque].&amp;[C]")/GETPIVOTDATA("[Measures].[Count of Embarque]",$B$94,"[Range].[Pclase]","[Range].[Pclase].&amp;[3]")</f>
        <v>0.13441955193482688</v>
      </c>
      <c r="D124" s="61">
        <f>C124</f>
        <v>0.13441955193482688</v>
      </c>
      <c r="E124" s="58" t="s">
        <v>218</v>
      </c>
    </row>
    <row r="125" spans="2:5">
      <c r="B125" s="1" t="s">
        <v>213</v>
      </c>
      <c r="C125">
        <f>GETPIVOTDATA("[Measures].[Count of Embarque]",$B$94,"[Range].[Pclase]","[Range].[Pclase].&amp;[3]","[Range].[Embarque]","[Range].[Embarque].&amp;[Q]")/GETPIVOTDATA("[Measures].[Count of Embarque]",$B$94,"[Range].[Pclase]","[Range].[Pclase].&amp;[3]")</f>
        <v>0.14663951120162932</v>
      </c>
      <c r="D125" s="61">
        <f>C125</f>
        <v>0.14663951120162932</v>
      </c>
      <c r="E125" s="58" t="s">
        <v>219</v>
      </c>
    </row>
    <row r="126" spans="2:5">
      <c r="B126" s="1" t="s">
        <v>214</v>
      </c>
      <c r="C126">
        <f>GETPIVOTDATA("[Measures].[Count of Embarque]",$B$94,"[Range].[Pclase]","[Range].[Pclase].&amp;[3]","[Range].[Embarque]","[Range].[Embarque].&amp;[S]")/GETPIVOTDATA("[Measures].[Count of Embarque]",$B$94,"[Range].[Pclase]","[Range].[Pclase].&amp;[3]")</f>
        <v>0.71894093686354377</v>
      </c>
      <c r="D126" s="61">
        <f>C126</f>
        <v>0.71894093686354377</v>
      </c>
      <c r="E126" s="58" t="s">
        <v>220</v>
      </c>
    </row>
    <row r="128" spans="2:5">
      <c r="B128" s="2" t="s">
        <v>146</v>
      </c>
    </row>
    <row r="129" spans="2:2">
      <c r="B129" t="s">
        <v>221</v>
      </c>
    </row>
    <row r="130" spans="2:2">
      <c r="B130" t="s">
        <v>222</v>
      </c>
    </row>
    <row r="131" spans="2:2">
      <c r="B131" t="s">
        <v>223</v>
      </c>
    </row>
    <row r="132" spans="2:2">
      <c r="B132" t="s">
        <v>224</v>
      </c>
    </row>
    <row r="133" spans="2:2">
      <c r="B133" s="65" t="s">
        <v>225</v>
      </c>
    </row>
  </sheetData>
  <mergeCells count="5">
    <mergeCell ref="B1:G2"/>
    <mergeCell ref="B39:G40"/>
    <mergeCell ref="B84:G85"/>
    <mergeCell ref="A37:XFD38"/>
    <mergeCell ref="A82:XFD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424D-AC84-425F-84F7-D6F044064690}">
  <dimension ref="A1:CL890"/>
  <sheetViews>
    <sheetView tabSelected="1" topLeftCell="BZ13" zoomScale="118" workbookViewId="0">
      <selection activeCell="CF21" sqref="CF21"/>
    </sheetView>
  </sheetViews>
  <sheetFormatPr defaultRowHeight="15"/>
  <cols>
    <col min="2" max="2" width="14.5703125" customWidth="1"/>
    <col min="3" max="3" width="10.5703125" customWidth="1"/>
    <col min="4" max="4" width="9.5703125" bestFit="1" customWidth="1"/>
    <col min="5" max="5" width="18.28515625" customWidth="1"/>
    <col min="6" max="7" width="14.140625" customWidth="1"/>
    <col min="34" max="34" width="1.28515625" style="71" customWidth="1"/>
    <col min="43" max="44" width="17.28515625" customWidth="1"/>
    <col min="45" max="45" width="19.140625" customWidth="1"/>
    <col min="67" max="67" width="1.28515625" style="71" customWidth="1"/>
    <col min="70" max="70" width="7.140625" customWidth="1"/>
    <col min="71" max="71" width="20" customWidth="1"/>
  </cols>
  <sheetData>
    <row r="1" spans="1:90" ht="15.75" customHeight="1">
      <c r="A1" s="45" t="s">
        <v>6</v>
      </c>
      <c r="C1" s="45" t="s">
        <v>55</v>
      </c>
      <c r="D1" s="45"/>
      <c r="E1" s="1" t="s">
        <v>56</v>
      </c>
      <c r="F1">
        <f>COUNT('Estadísticos Descriptivos'!A2:A890)</f>
        <v>889</v>
      </c>
      <c r="AH1" s="6"/>
      <c r="AI1" s="45" t="s">
        <v>9</v>
      </c>
      <c r="AK1" s="45" t="s">
        <v>55</v>
      </c>
      <c r="AM1" s="1" t="s">
        <v>56</v>
      </c>
      <c r="AN1">
        <f>COUNT('Estadísticos Descriptivos'!AI2:AI890)</f>
        <v>889</v>
      </c>
      <c r="BO1" s="6"/>
      <c r="BP1" s="45" t="s">
        <v>272</v>
      </c>
      <c r="BS1" s="45" t="s">
        <v>79</v>
      </c>
    </row>
    <row r="2" spans="1:90" ht="16.5" customHeight="1">
      <c r="A2">
        <v>0.42</v>
      </c>
      <c r="E2" s="1" t="s">
        <v>59</v>
      </c>
      <c r="F2" s="33">
        <f>MAX('Estadísticos Descriptivos'!A2:A890) - MIN('Estadísticos Descriptivos'!A2:A890)</f>
        <v>79.58</v>
      </c>
      <c r="I2" s="104" t="s">
        <v>281</v>
      </c>
      <c r="J2" s="104"/>
      <c r="K2" s="104"/>
      <c r="L2" s="104"/>
      <c r="M2" s="104"/>
      <c r="N2" s="104"/>
      <c r="O2" s="104"/>
      <c r="P2" s="104"/>
      <c r="AH2" s="6"/>
      <c r="AI2" s="33">
        <v>0</v>
      </c>
      <c r="AM2" s="1" t="s">
        <v>59</v>
      </c>
      <c r="AN2" s="33">
        <f>MAX('Estadísticos Descriptivos'!AI2:AI890 ) - MIN('Estadísticos Descriptivos'!AI2:AI890)</f>
        <v>512.32920000000001</v>
      </c>
      <c r="AQ2" s="104" t="s">
        <v>282</v>
      </c>
      <c r="AR2" s="104"/>
      <c r="AS2" s="104"/>
      <c r="AT2" s="104"/>
      <c r="AU2" s="104"/>
      <c r="AV2" s="104"/>
      <c r="AW2" s="104"/>
      <c r="AX2" s="104"/>
      <c r="BO2" s="6"/>
      <c r="BP2">
        <v>0</v>
      </c>
      <c r="BS2" s="43" t="s">
        <v>80</v>
      </c>
      <c r="CD2" s="104" t="s">
        <v>283</v>
      </c>
      <c r="CE2" s="104"/>
      <c r="CF2" s="104"/>
      <c r="CG2" s="104"/>
      <c r="CH2" s="104"/>
      <c r="CI2" s="104"/>
      <c r="CJ2" s="104"/>
      <c r="CK2" s="104"/>
      <c r="CL2" s="71"/>
    </row>
    <row r="3" spans="1:90" ht="15" customHeight="1">
      <c r="A3">
        <v>0.67</v>
      </c>
      <c r="E3" s="1" t="s">
        <v>58</v>
      </c>
      <c r="F3">
        <f>ROUND(1 + 3.32*LOG(F1), 0)</f>
        <v>11</v>
      </c>
      <c r="I3" s="104"/>
      <c r="J3" s="104"/>
      <c r="K3" s="104"/>
      <c r="L3" s="104"/>
      <c r="M3" s="104"/>
      <c r="N3" s="104"/>
      <c r="O3" s="104"/>
      <c r="P3" s="104"/>
      <c r="AH3" s="6"/>
      <c r="AI3" s="33">
        <v>0</v>
      </c>
      <c r="AM3" s="1" t="s">
        <v>58</v>
      </c>
      <c r="AN3">
        <f>ROUND(1 + 3.32*LOG(AN1), 0)</f>
        <v>11</v>
      </c>
      <c r="AQ3" s="104"/>
      <c r="AR3" s="104"/>
      <c r="AS3" s="104"/>
      <c r="AT3" s="104"/>
      <c r="AU3" s="104"/>
      <c r="AV3" s="104"/>
      <c r="AW3" s="104"/>
      <c r="AX3" s="104"/>
      <c r="BO3" s="6"/>
      <c r="BP3">
        <v>0</v>
      </c>
      <c r="BX3" s="52" t="s">
        <v>65</v>
      </c>
      <c r="BY3" s="52"/>
      <c r="BZ3" s="52"/>
      <c r="CA3" s="52" t="s">
        <v>66</v>
      </c>
      <c r="CB3" s="52"/>
      <c r="CC3" s="52"/>
      <c r="CD3" s="104"/>
      <c r="CE3" s="104"/>
      <c r="CF3" s="104"/>
      <c r="CG3" s="104"/>
      <c r="CH3" s="104"/>
      <c r="CI3" s="104"/>
      <c r="CJ3" s="104"/>
      <c r="CK3" s="104"/>
      <c r="CL3" s="71"/>
    </row>
    <row r="4" spans="1:90" ht="15" customHeight="1">
      <c r="A4">
        <v>0.75</v>
      </c>
      <c r="E4" s="1" t="s">
        <v>57</v>
      </c>
      <c r="F4">
        <f>ROUND(F2/F3, 0)</f>
        <v>7</v>
      </c>
      <c r="I4" s="104"/>
      <c r="J4" s="104"/>
      <c r="K4" s="104"/>
      <c r="L4" s="104"/>
      <c r="M4" s="104"/>
      <c r="N4" s="104"/>
      <c r="O4" s="104"/>
      <c r="P4" s="104"/>
      <c r="AH4" s="6"/>
      <c r="AI4" s="33">
        <v>0</v>
      </c>
      <c r="AM4" s="1" t="s">
        <v>57</v>
      </c>
      <c r="AN4">
        <f>ROUND(AN2/AN3,0)</f>
        <v>47</v>
      </c>
      <c r="AQ4" s="104"/>
      <c r="AR4" s="104"/>
      <c r="AS4" s="104"/>
      <c r="AT4" s="104"/>
      <c r="AU4" s="104"/>
      <c r="AV4" s="104"/>
      <c r="AW4" s="104"/>
      <c r="AX4" s="104"/>
      <c r="BO4" s="6"/>
      <c r="BP4">
        <v>0</v>
      </c>
      <c r="BS4" s="47" t="s">
        <v>81</v>
      </c>
      <c r="BT4" s="48" t="s">
        <v>36</v>
      </c>
      <c r="BU4" s="48" t="s">
        <v>13</v>
      </c>
      <c r="BV4" s="48" t="s">
        <v>14</v>
      </c>
      <c r="BW4" s="48" t="s">
        <v>15</v>
      </c>
      <c r="BX4" s="48" t="s">
        <v>27</v>
      </c>
      <c r="BY4" s="48" t="s">
        <v>28</v>
      </c>
      <c r="BZ4" s="48" t="s">
        <v>82</v>
      </c>
      <c r="CA4" s="48" t="s">
        <v>30</v>
      </c>
      <c r="CB4" s="48" t="s">
        <v>31</v>
      </c>
      <c r="CC4" s="48" t="s">
        <v>32</v>
      </c>
      <c r="CD4" s="104"/>
      <c r="CE4" s="104"/>
      <c r="CF4" s="104"/>
      <c r="CG4" s="104"/>
      <c r="CH4" s="104"/>
      <c r="CI4" s="104"/>
      <c r="CJ4" s="104"/>
      <c r="CK4" s="104"/>
    </row>
    <row r="5" spans="1:90" ht="15" customHeight="1">
      <c r="A5">
        <v>0.75</v>
      </c>
      <c r="C5" s="128" t="s">
        <v>286</v>
      </c>
      <c r="D5" s="105"/>
      <c r="E5" s="105"/>
      <c r="F5" s="105"/>
      <c r="G5" s="105"/>
      <c r="H5" s="105"/>
      <c r="AH5" s="6"/>
      <c r="AI5" s="33">
        <v>0</v>
      </c>
      <c r="BO5" s="6"/>
      <c r="BP5">
        <v>0</v>
      </c>
      <c r="BS5" s="106" t="s">
        <v>83</v>
      </c>
      <c r="BT5" s="107">
        <v>0</v>
      </c>
      <c r="BU5" s="106">
        <f t="array" ref="BU5:BU11">FREQUENCY('Estadísticos Descriptivos'!BP2:BP890, BT5:BT11)</f>
        <v>606</v>
      </c>
      <c r="BV5" s="108">
        <f>BU5/$BU$12</f>
        <v>0.68166479190101237</v>
      </c>
      <c r="BW5" s="109">
        <f>BV5</f>
        <v>0.68166479190101237</v>
      </c>
      <c r="BX5" s="110">
        <f>BU5</f>
        <v>606</v>
      </c>
      <c r="BY5" s="108">
        <f>BV5</f>
        <v>0.68166479190101237</v>
      </c>
      <c r="BZ5" s="109">
        <f>BW5</f>
        <v>0.68166479190101237</v>
      </c>
      <c r="CA5" s="111" cm="1">
        <f t="array" ref="CA5:CC5">BU12:BW12</f>
        <v>889</v>
      </c>
      <c r="CB5" s="112">
        <v>1</v>
      </c>
      <c r="CC5" s="113">
        <v>1</v>
      </c>
      <c r="CD5" s="71"/>
    </row>
    <row r="6" spans="1:90" ht="17.25" customHeight="1">
      <c r="A6">
        <v>0.83</v>
      </c>
      <c r="C6" s="43" t="s">
        <v>261</v>
      </c>
      <c r="AH6" s="6"/>
      <c r="AI6" s="33">
        <v>0</v>
      </c>
      <c r="AK6" s="43" t="s">
        <v>262</v>
      </c>
      <c r="BO6" s="6"/>
      <c r="BP6">
        <v>0</v>
      </c>
      <c r="BS6" s="114" t="s">
        <v>84</v>
      </c>
      <c r="BT6" s="115">
        <v>1</v>
      </c>
      <c r="BU6" s="116">
        <v>209</v>
      </c>
      <c r="BV6" s="117">
        <f>BU6/$BU$12</f>
        <v>0.23509561304836896</v>
      </c>
      <c r="BW6" s="118">
        <f>BV6</f>
        <v>0.23509561304836896</v>
      </c>
      <c r="BX6" s="119">
        <f>BX5+BU6</f>
        <v>815</v>
      </c>
      <c r="BY6" s="117">
        <f>BY5+BV6</f>
        <v>0.91676040494938138</v>
      </c>
      <c r="BZ6" s="120">
        <f>BZ5+BW6</f>
        <v>0.91676040494938138</v>
      </c>
      <c r="CA6" s="121" cm="1">
        <f t="array" ref="CA6:CC6">CA5:CC5-BU5:BW5</f>
        <v>283</v>
      </c>
      <c r="CB6" s="122">
        <v>0.31833520809898763</v>
      </c>
      <c r="CC6" s="120">
        <v>0.31833520809898763</v>
      </c>
      <c r="CD6" s="71"/>
    </row>
    <row r="7" spans="1:90">
      <c r="A7">
        <v>0.83</v>
      </c>
      <c r="C7" s="41"/>
      <c r="I7" s="52" t="s">
        <v>65</v>
      </c>
      <c r="J7" s="52"/>
      <c r="K7" s="52"/>
      <c r="L7" s="52" t="s">
        <v>66</v>
      </c>
      <c r="M7" s="52"/>
      <c r="N7" s="52"/>
      <c r="AH7" s="6"/>
      <c r="AI7" s="33">
        <v>0</v>
      </c>
      <c r="BO7" s="6"/>
      <c r="BP7">
        <v>0</v>
      </c>
      <c r="BS7" s="106" t="s">
        <v>85</v>
      </c>
      <c r="BT7" s="107">
        <v>2</v>
      </c>
      <c r="BU7" s="107">
        <v>28</v>
      </c>
      <c r="BV7" s="123">
        <f>BU7/$BU$12</f>
        <v>3.1496062992125984E-2</v>
      </c>
      <c r="BW7" s="124">
        <f>BV7</f>
        <v>3.1496062992125984E-2</v>
      </c>
      <c r="BX7" s="125">
        <f>BX6+BU7</f>
        <v>843</v>
      </c>
      <c r="BY7" s="123">
        <f>BY6+BV7</f>
        <v>0.94825646794150731</v>
      </c>
      <c r="BZ7" s="124">
        <f>BZ6+BW7</f>
        <v>0.94825646794150731</v>
      </c>
      <c r="CA7" s="125" cm="1">
        <f t="array" ref="CA7:CC7">CA6:CC6-BU6:BW6</f>
        <v>74</v>
      </c>
      <c r="CB7" s="123">
        <v>8.3239595050618675E-2</v>
      </c>
      <c r="CC7" s="124">
        <v>8.3239595050618675E-2</v>
      </c>
    </row>
    <row r="8" spans="1:90">
      <c r="A8">
        <v>0.92</v>
      </c>
      <c r="C8" s="53" t="s">
        <v>60</v>
      </c>
      <c r="D8" s="53"/>
      <c r="E8" s="42" t="s">
        <v>60</v>
      </c>
      <c r="F8" s="42" t="s">
        <v>13</v>
      </c>
      <c r="G8" s="42" t="s">
        <v>14</v>
      </c>
      <c r="H8" s="42" t="s">
        <v>15</v>
      </c>
      <c r="I8" s="42" t="s">
        <v>61</v>
      </c>
      <c r="J8" s="42" t="s">
        <v>28</v>
      </c>
      <c r="K8" s="42" t="s">
        <v>29</v>
      </c>
      <c r="L8" s="42" t="s">
        <v>62</v>
      </c>
      <c r="M8" s="42" t="s">
        <v>31</v>
      </c>
      <c r="N8" s="42" t="s">
        <v>63</v>
      </c>
      <c r="O8" s="42" t="s">
        <v>64</v>
      </c>
      <c r="P8" s="42"/>
      <c r="Q8" s="42"/>
      <c r="R8" s="42"/>
      <c r="S8" s="42"/>
      <c r="T8" s="42"/>
      <c r="AH8" s="6"/>
      <c r="AI8" s="33">
        <v>0</v>
      </c>
      <c r="AK8" s="53" t="s">
        <v>60</v>
      </c>
      <c r="AL8" s="53"/>
      <c r="AM8" s="42" t="s">
        <v>60</v>
      </c>
      <c r="AN8" s="42" t="s">
        <v>13</v>
      </c>
      <c r="AO8" s="42" t="s">
        <v>14</v>
      </c>
      <c r="AP8" s="42" t="s">
        <v>15</v>
      </c>
      <c r="AQ8" s="42" t="s">
        <v>61</v>
      </c>
      <c r="AR8" s="42" t="s">
        <v>28</v>
      </c>
      <c r="AS8" s="42" t="s">
        <v>29</v>
      </c>
      <c r="AT8" s="42" t="s">
        <v>62</v>
      </c>
      <c r="AU8" s="42" t="s">
        <v>31</v>
      </c>
      <c r="AV8" s="42" t="s">
        <v>63</v>
      </c>
      <c r="AW8" s="42" t="s">
        <v>64</v>
      </c>
      <c r="AX8" s="42"/>
      <c r="AY8" s="42"/>
      <c r="AZ8" s="42"/>
      <c r="BA8" s="42"/>
      <c r="BB8" s="42"/>
      <c r="BO8" s="6"/>
      <c r="BP8">
        <v>0</v>
      </c>
      <c r="BS8" s="114" t="s">
        <v>86</v>
      </c>
      <c r="BT8" s="115">
        <v>3</v>
      </c>
      <c r="BU8" s="114">
        <v>16</v>
      </c>
      <c r="BV8" s="126">
        <f>BU8/$BU$12</f>
        <v>1.799775028121485E-2</v>
      </c>
      <c r="BW8" s="120">
        <f>BV8</f>
        <v>1.799775028121485E-2</v>
      </c>
      <c r="BX8" s="121">
        <f>BX7+BU8</f>
        <v>859</v>
      </c>
      <c r="BY8" s="126">
        <f>BY7+BV8</f>
        <v>0.96625421822272217</v>
      </c>
      <c r="BZ8" s="120">
        <f>BZ7+BW8</f>
        <v>0.96625421822272217</v>
      </c>
      <c r="CA8" s="121" cm="1">
        <f t="array" ref="CA8:CC8">CA7:CC7-BU7:BW7</f>
        <v>46</v>
      </c>
      <c r="CB8" s="122">
        <v>5.1743532058492692E-2</v>
      </c>
      <c r="CC8" s="120">
        <v>5.1743532058492692E-2</v>
      </c>
    </row>
    <row r="9" spans="1:90" ht="18" customHeight="1">
      <c r="A9">
        <v>1</v>
      </c>
      <c r="C9" s="86">
        <f>MIN('Estadísticos Descriptivos'!A2:A890)</f>
        <v>0.42</v>
      </c>
      <c r="D9" s="87">
        <f>C10-1</f>
        <v>6.42</v>
      </c>
      <c r="E9" s="88" t="str">
        <f>TEXT(C9, "0") &amp; " - " &amp; TEXT(D9, "0")</f>
        <v>0 - 6</v>
      </c>
      <c r="F9" s="88">
        <f t="array" ref="F9:F20">FREQUENCY('Estadísticos Descriptivos'!A2:A890, D9:D20)</f>
        <v>47</v>
      </c>
      <c r="G9" s="89">
        <f>F9/$F$21</f>
        <v>5.2868391451068614E-2</v>
      </c>
      <c r="H9" s="90">
        <f>G9</f>
        <v>5.2868391451068614E-2</v>
      </c>
      <c r="I9" s="88">
        <f>F9</f>
        <v>47</v>
      </c>
      <c r="J9" s="89">
        <f>G9</f>
        <v>5.2868391451068614E-2</v>
      </c>
      <c r="K9" s="90">
        <f>H9</f>
        <v>5.2868391451068614E-2</v>
      </c>
      <c r="L9" s="91">
        <f>F21</f>
        <v>889</v>
      </c>
      <c r="M9" s="92">
        <f>G21</f>
        <v>0.99999999999999978</v>
      </c>
      <c r="N9" s="93">
        <f>H21</f>
        <v>0.99999999999999978</v>
      </c>
      <c r="O9" s="94">
        <f>AVERAGE(C9:D9)</f>
        <v>3.42</v>
      </c>
      <c r="P9" s="94"/>
      <c r="Q9" s="94"/>
      <c r="R9" s="94"/>
      <c r="S9" s="94"/>
      <c r="T9" s="94"/>
      <c r="AH9" s="6"/>
      <c r="AI9" s="33">
        <v>0</v>
      </c>
      <c r="AK9" s="86">
        <f>MIN('Estadísticos Descriptivos'!AI2:AI890)</f>
        <v>0</v>
      </c>
      <c r="AL9" s="87">
        <f>AK10-1</f>
        <v>46</v>
      </c>
      <c r="AM9" s="88" t="str">
        <f>TEXT(AK9, "0") &amp; " - " &amp; TEXT(AL9, "0")</f>
        <v>0 - 46</v>
      </c>
      <c r="AN9" s="88">
        <f t="array" ref="AN9:AN19">FREQUENCY('Estadísticos Descriptivos'!AI2:AI890, AL9:AL19)</f>
        <v>720</v>
      </c>
      <c r="AO9" s="89">
        <f>AN9/'Estadísticos Descriptivos'!$F$21</f>
        <v>0.8098987626546682</v>
      </c>
      <c r="AP9" s="100">
        <f>AO9</f>
        <v>0.8098987626546682</v>
      </c>
      <c r="AQ9" s="88">
        <f>AN9</f>
        <v>720</v>
      </c>
      <c r="AR9" s="89">
        <f>AO9</f>
        <v>0.8098987626546682</v>
      </c>
      <c r="AS9" s="90">
        <f>AP9</f>
        <v>0.8098987626546682</v>
      </c>
      <c r="AT9" s="91">
        <f>AN20</f>
        <v>889</v>
      </c>
      <c r="AU9" s="101">
        <f>AO20</f>
        <v>1</v>
      </c>
      <c r="AV9" s="93">
        <f>AP20</f>
        <v>1</v>
      </c>
      <c r="AW9" s="94">
        <f>AVERAGE(AK9:AL9)</f>
        <v>23</v>
      </c>
      <c r="AX9" s="94"/>
      <c r="AY9" s="94"/>
      <c r="AZ9" s="94"/>
      <c r="BA9" s="94"/>
      <c r="BB9" s="94"/>
      <c r="BO9" s="6"/>
      <c r="BP9">
        <v>0</v>
      </c>
      <c r="BS9" s="106" t="s">
        <v>87</v>
      </c>
      <c r="BT9" s="107">
        <v>4</v>
      </c>
      <c r="BU9" s="106">
        <v>18</v>
      </c>
      <c r="BV9" s="108">
        <f>BU9/$BU$12</f>
        <v>2.0247469066366704E-2</v>
      </c>
      <c r="BW9" s="109">
        <f>BV9</f>
        <v>2.0247469066366704E-2</v>
      </c>
      <c r="BX9" s="110">
        <f>BX8+BU9</f>
        <v>877</v>
      </c>
      <c r="BY9" s="108">
        <f>BY8+BV9</f>
        <v>0.98650168728908882</v>
      </c>
      <c r="BZ9" s="109">
        <f>BZ8+BW9</f>
        <v>0.98650168728908882</v>
      </c>
      <c r="CA9" s="110" cm="1">
        <f t="array" ref="CA9:CC9">CA8:CC8-BU8:BW8</f>
        <v>30</v>
      </c>
      <c r="CB9" s="108">
        <v>3.3745781777277842E-2</v>
      </c>
      <c r="CC9" s="109">
        <v>3.3745781777277842E-2</v>
      </c>
    </row>
    <row r="10" spans="1:90">
      <c r="A10">
        <v>1</v>
      </c>
      <c r="C10" s="95">
        <f>C9+$F$4</f>
        <v>7.42</v>
      </c>
      <c r="D10" s="95">
        <f>D9+$F$4</f>
        <v>13.42</v>
      </c>
      <c r="E10" s="96" t="str">
        <f>TEXT(C10, "0") &amp; " - " &amp; TEXT(D10, "0")</f>
        <v>7 - 13</v>
      </c>
      <c r="F10" s="96">
        <v>24</v>
      </c>
      <c r="G10" s="97">
        <f>F10/$F$21</f>
        <v>2.6996625421822271E-2</v>
      </c>
      <c r="H10" s="98">
        <f>G10</f>
        <v>2.6996625421822271E-2</v>
      </c>
      <c r="I10" s="96">
        <f>I9+F10</f>
        <v>71</v>
      </c>
      <c r="J10" s="97">
        <f>J9+G10</f>
        <v>7.9865016872890882E-2</v>
      </c>
      <c r="K10" s="98">
        <f>K9+H10</f>
        <v>7.9865016872890882E-2</v>
      </c>
      <c r="L10" s="96">
        <f>L9-F9</f>
        <v>842</v>
      </c>
      <c r="M10" s="97">
        <f>M9-G9</f>
        <v>0.94713160854893119</v>
      </c>
      <c r="N10" s="98">
        <f>N9-H9</f>
        <v>0.94713160854893119</v>
      </c>
      <c r="O10" s="99">
        <f>AVERAGE(C10:D10)</f>
        <v>10.42</v>
      </c>
      <c r="P10" s="99"/>
      <c r="Q10" s="99"/>
      <c r="R10" s="99"/>
      <c r="S10" s="99"/>
      <c r="T10" s="99"/>
      <c r="AH10" s="6"/>
      <c r="AI10" s="33">
        <v>0</v>
      </c>
      <c r="AK10" s="95">
        <f>AK9+$AN$4</f>
        <v>47</v>
      </c>
      <c r="AL10" s="95">
        <f>AL9+$AN$4</f>
        <v>93</v>
      </c>
      <c r="AM10" s="96" t="str">
        <f>TEXT(AK10, "0") &amp; " - " &amp; TEXT(AL10, "0")</f>
        <v>47 - 93</v>
      </c>
      <c r="AN10" s="96">
        <v>114</v>
      </c>
      <c r="AO10" s="97">
        <f>AN10/'Estadísticos Descriptivos'!$F$21</f>
        <v>0.12823397075365578</v>
      </c>
      <c r="AP10" s="102">
        <f>AO10</f>
        <v>0.12823397075365578</v>
      </c>
      <c r="AQ10" s="96">
        <f>AQ9+AN10</f>
        <v>834</v>
      </c>
      <c r="AR10" s="97">
        <f>AR9+AO10</f>
        <v>0.93813273340832404</v>
      </c>
      <c r="AS10" s="98">
        <f>AS9+AP10</f>
        <v>0.93813273340832404</v>
      </c>
      <c r="AT10" s="96">
        <f>AT9-AN9</f>
        <v>169</v>
      </c>
      <c r="AU10" s="97">
        <f>AU9-AO9</f>
        <v>0.1901012373453318</v>
      </c>
      <c r="AV10" s="98">
        <f>AV9-AP9</f>
        <v>0.1901012373453318</v>
      </c>
      <c r="AW10" s="99">
        <f>AVERAGE(AK10:AL10)</f>
        <v>70</v>
      </c>
      <c r="AX10" s="99"/>
      <c r="AY10" s="99"/>
      <c r="AZ10" s="99"/>
      <c r="BA10" s="99"/>
      <c r="BB10" s="99"/>
      <c r="BO10" s="6"/>
      <c r="BP10">
        <v>0</v>
      </c>
      <c r="BS10" s="114" t="s">
        <v>88</v>
      </c>
      <c r="BT10" s="115">
        <v>5</v>
      </c>
      <c r="BU10" s="114">
        <v>5</v>
      </c>
      <c r="BV10" s="126">
        <f>BU10/$BU$12</f>
        <v>5.6242969628796397E-3</v>
      </c>
      <c r="BW10" s="120">
        <f>BV10</f>
        <v>5.6242969628796397E-3</v>
      </c>
      <c r="BX10" s="121">
        <f>BX9+BU10</f>
        <v>882</v>
      </c>
      <c r="BY10" s="126">
        <f>BY9+BV10</f>
        <v>0.99212598425196852</v>
      </c>
      <c r="BZ10" s="120">
        <f>BZ9+BW10</f>
        <v>0.99212598425196852</v>
      </c>
      <c r="CA10" s="121" cm="1">
        <f t="array" ref="CA10:CC10">CA9:CC9-BU9:BW9</f>
        <v>12</v>
      </c>
      <c r="CB10" s="122">
        <v>1.3498312710911137E-2</v>
      </c>
      <c r="CC10" s="120">
        <v>1.3498312710911137E-2</v>
      </c>
    </row>
    <row r="11" spans="1:90">
      <c r="A11">
        <v>1</v>
      </c>
      <c r="C11" s="87">
        <f>C10+$F$4</f>
        <v>14.42</v>
      </c>
      <c r="D11" s="87">
        <f>D10+$F$4</f>
        <v>20.420000000000002</v>
      </c>
      <c r="E11" s="88" t="str">
        <f>TEXT(C11, "0") &amp; " - " &amp; TEXT(D11, "0")</f>
        <v>14 - 20</v>
      </c>
      <c r="F11" s="88">
        <v>108</v>
      </c>
      <c r="G11" s="89">
        <f>F11/$F$21</f>
        <v>0.12148481439820022</v>
      </c>
      <c r="H11" s="90">
        <f>G11</f>
        <v>0.12148481439820022</v>
      </c>
      <c r="I11" s="88">
        <f>I10+F11</f>
        <v>179</v>
      </c>
      <c r="J11" s="89">
        <f>J10+G11</f>
        <v>0.2013498312710911</v>
      </c>
      <c r="K11" s="90">
        <f>K10+H11</f>
        <v>0.2013498312710911</v>
      </c>
      <c r="L11" s="88">
        <f>L10-F10</f>
        <v>818</v>
      </c>
      <c r="M11" s="89">
        <f>M10-G10</f>
        <v>0.92013498312710895</v>
      </c>
      <c r="N11" s="90">
        <f>N10-H10</f>
        <v>0.92013498312710895</v>
      </c>
      <c r="O11" s="94">
        <f>AVERAGE(C11:D11)</f>
        <v>17.420000000000002</v>
      </c>
      <c r="P11" s="94"/>
      <c r="Q11" s="94"/>
      <c r="R11" s="94"/>
      <c r="S11" s="94"/>
      <c r="T11" s="94"/>
      <c r="AH11" s="6"/>
      <c r="AI11" s="33">
        <v>0</v>
      </c>
      <c r="AK11" s="95">
        <f>AK10+$AN$4</f>
        <v>94</v>
      </c>
      <c r="AL11" s="95">
        <f>AL10+$AN$4</f>
        <v>140</v>
      </c>
      <c r="AM11" s="88" t="str">
        <f>TEXT(AK11, "0") &amp; " - " &amp; TEXT(AL11, "0")</f>
        <v>94 - 140</v>
      </c>
      <c r="AN11" s="88">
        <v>24</v>
      </c>
      <c r="AO11" s="89">
        <f>AN11/'Estadísticos Descriptivos'!$F$21</f>
        <v>2.6996625421822271E-2</v>
      </c>
      <c r="AP11" s="100">
        <f>AO11</f>
        <v>2.6996625421822271E-2</v>
      </c>
      <c r="AQ11" s="88">
        <f>AQ10+AN11</f>
        <v>858</v>
      </c>
      <c r="AR11" s="89">
        <f>AR10+AO11</f>
        <v>0.96512935883014628</v>
      </c>
      <c r="AS11" s="90">
        <f>AS10+AP11</f>
        <v>0.96512935883014628</v>
      </c>
      <c r="AT11" s="88">
        <f>AT10-AN10</f>
        <v>55</v>
      </c>
      <c r="AU11" s="89">
        <f>AU10-AO10</f>
        <v>6.1867266591676018E-2</v>
      </c>
      <c r="AV11" s="90">
        <f>AV10-AP10</f>
        <v>6.1867266591676018E-2</v>
      </c>
      <c r="AW11" s="94">
        <f>AVERAGE(AK11:AL11)</f>
        <v>117</v>
      </c>
      <c r="AX11" s="94"/>
      <c r="AY11" s="94"/>
      <c r="AZ11" s="94"/>
      <c r="BA11" s="94"/>
      <c r="BB11" s="94"/>
      <c r="BO11" s="6"/>
      <c r="BP11">
        <v>0</v>
      </c>
      <c r="BS11" s="106" t="s">
        <v>89</v>
      </c>
      <c r="BT11" s="107">
        <v>8</v>
      </c>
      <c r="BU11" s="106">
        <v>7</v>
      </c>
      <c r="BV11" s="108">
        <f>BU11/$BU$12</f>
        <v>7.874015748031496E-3</v>
      </c>
      <c r="BW11" s="109">
        <f>BV11</f>
        <v>7.874015748031496E-3</v>
      </c>
      <c r="BX11" s="111">
        <f>BX10+BU11</f>
        <v>889</v>
      </c>
      <c r="BY11" s="112">
        <f>BY10+BV11</f>
        <v>1</v>
      </c>
      <c r="BZ11" s="113">
        <f>BZ10+BW11</f>
        <v>1</v>
      </c>
      <c r="CA11" s="110" cm="1">
        <f t="array" ref="CA11:CC11">CA10:CC10-BU10:BW10</f>
        <v>7</v>
      </c>
      <c r="CB11" s="108">
        <v>7.8740157480314977E-3</v>
      </c>
      <c r="CC11" s="109">
        <v>7.8740157480314977E-3</v>
      </c>
    </row>
    <row r="12" spans="1:90">
      <c r="A12">
        <v>1</v>
      </c>
      <c r="C12" s="95">
        <f>C11+$F$4</f>
        <v>21.42</v>
      </c>
      <c r="D12" s="95">
        <f>D11+$F$4</f>
        <v>27.42</v>
      </c>
      <c r="E12" s="96" t="str">
        <f>TEXT(C12, "0") &amp; " - " &amp; TEXT(D12, "0")</f>
        <v>21 - 27</v>
      </c>
      <c r="F12" s="96">
        <v>158</v>
      </c>
      <c r="G12" s="97">
        <f>F12/$F$21</f>
        <v>0.17772778402699663</v>
      </c>
      <c r="H12" s="98">
        <f>G12</f>
        <v>0.17772778402699663</v>
      </c>
      <c r="I12" s="96">
        <f>I11+F12</f>
        <v>337</v>
      </c>
      <c r="J12" s="97">
        <f>J11+G12</f>
        <v>0.3790776152980877</v>
      </c>
      <c r="K12" s="98">
        <f>K11+H12</f>
        <v>0.3790776152980877</v>
      </c>
      <c r="L12" s="96">
        <f>L11-F11</f>
        <v>710</v>
      </c>
      <c r="M12" s="97">
        <f>M11-G11</f>
        <v>0.7986501687289087</v>
      </c>
      <c r="N12" s="98">
        <f>N11-H11</f>
        <v>0.7986501687289087</v>
      </c>
      <c r="O12" s="99">
        <f>AVERAGE(C12:D12)</f>
        <v>24.42</v>
      </c>
      <c r="P12" s="99"/>
      <c r="Q12" s="99"/>
      <c r="R12" s="99"/>
      <c r="S12" s="99"/>
      <c r="T12" s="99"/>
      <c r="AH12" s="6"/>
      <c r="AI12" s="33">
        <v>0</v>
      </c>
      <c r="AK12" s="95">
        <f>AK11+$AN$4</f>
        <v>141</v>
      </c>
      <c r="AL12" s="95">
        <f>AL11+$AN$4</f>
        <v>187</v>
      </c>
      <c r="AM12" s="96" t="str">
        <f>TEXT(AK12, "0") &amp; " - " &amp; TEXT(AL12, "0")</f>
        <v>141 - 187</v>
      </c>
      <c r="AN12" s="96">
        <v>11</v>
      </c>
      <c r="AO12" s="97">
        <f>AN12/'Estadísticos Descriptivos'!$F$21</f>
        <v>1.2373453318335208E-2</v>
      </c>
      <c r="AP12" s="102">
        <f>AO12</f>
        <v>1.2373453318335208E-2</v>
      </c>
      <c r="AQ12" s="96">
        <f>AQ11+AN12</f>
        <v>869</v>
      </c>
      <c r="AR12" s="97">
        <f>AR11+AO12</f>
        <v>0.97750281214848145</v>
      </c>
      <c r="AS12" s="98">
        <f>AS11+AP12</f>
        <v>0.97750281214848145</v>
      </c>
      <c r="AT12" s="96">
        <f>AT11-AN11</f>
        <v>31</v>
      </c>
      <c r="AU12" s="97">
        <f>AU11-AO11</f>
        <v>3.487064116985375E-2</v>
      </c>
      <c r="AV12" s="98">
        <f>AV11-AP11</f>
        <v>3.487064116985375E-2</v>
      </c>
      <c r="AW12" s="99">
        <f>AVERAGE(AK12:AL12)</f>
        <v>164</v>
      </c>
      <c r="AX12" s="99"/>
      <c r="AY12" s="99"/>
      <c r="AZ12" s="99"/>
      <c r="BA12" s="99"/>
      <c r="BB12" s="99"/>
      <c r="BO12" s="6"/>
      <c r="BP12">
        <v>0</v>
      </c>
      <c r="BS12" s="127" t="s">
        <v>18</v>
      </c>
      <c r="BT12" s="115"/>
      <c r="BU12" s="91">
        <f>SUM(BU5:BU11)</f>
        <v>889</v>
      </c>
      <c r="BV12" s="92">
        <f>SUM(BV5:BV11)</f>
        <v>1</v>
      </c>
      <c r="BW12" s="93">
        <f>SUM(BW5:BW11)</f>
        <v>1</v>
      </c>
      <c r="BX12" s="114"/>
      <c r="BY12" s="114"/>
      <c r="BZ12" s="114"/>
      <c r="CA12" s="114"/>
      <c r="CB12" s="114"/>
      <c r="CC12" s="114"/>
    </row>
    <row r="13" spans="1:90">
      <c r="A13">
        <v>1</v>
      </c>
      <c r="C13" s="87">
        <f>C12+$F$4</f>
        <v>28.42</v>
      </c>
      <c r="D13" s="87">
        <f>D12+$F$4</f>
        <v>34.42</v>
      </c>
      <c r="E13" s="88" t="str">
        <f>TEXT(C13, "0") &amp; " - " &amp; TEXT(D13, "0")</f>
        <v>28 - 34</v>
      </c>
      <c r="F13" s="88">
        <v>318</v>
      </c>
      <c r="G13" s="89">
        <f>F13/$F$21</f>
        <v>0.3577052868391451</v>
      </c>
      <c r="H13" s="90">
        <f>G13</f>
        <v>0.3577052868391451</v>
      </c>
      <c r="I13" s="88">
        <f>I12+F13</f>
        <v>655</v>
      </c>
      <c r="J13" s="89">
        <f>J12+G13</f>
        <v>0.73678290213723274</v>
      </c>
      <c r="K13" s="90">
        <f>K12+H13</f>
        <v>0.73678290213723274</v>
      </c>
      <c r="L13" s="88">
        <f>L12-F12</f>
        <v>552</v>
      </c>
      <c r="M13" s="89">
        <f>M12-G12</f>
        <v>0.62092238470191208</v>
      </c>
      <c r="N13" s="90">
        <f>N12-H12</f>
        <v>0.62092238470191208</v>
      </c>
      <c r="O13" s="94">
        <f>AVERAGE(C13:D13)</f>
        <v>31.42</v>
      </c>
      <c r="P13" s="94"/>
      <c r="Q13" s="94"/>
      <c r="R13" s="94"/>
      <c r="S13" s="94"/>
      <c r="T13" s="94"/>
      <c r="AH13" s="6"/>
      <c r="AI13" s="33">
        <v>0</v>
      </c>
      <c r="AK13" s="95">
        <f>AK12+$AN$4</f>
        <v>188</v>
      </c>
      <c r="AL13" s="95">
        <f>AL12+$AN$4</f>
        <v>234</v>
      </c>
      <c r="AM13" s="88" t="str">
        <f>TEXT(AK13, "0") &amp; " - " &amp; TEXT(AL13, "0")</f>
        <v>188 - 234</v>
      </c>
      <c r="AN13" s="88">
        <v>9</v>
      </c>
      <c r="AO13" s="89">
        <f>AN13/'Estadísticos Descriptivos'!$F$21</f>
        <v>1.0123734533183352E-2</v>
      </c>
      <c r="AP13" s="100">
        <f>AO13</f>
        <v>1.0123734533183352E-2</v>
      </c>
      <c r="AQ13" s="88">
        <f>AQ12+AN13</f>
        <v>878</v>
      </c>
      <c r="AR13" s="89">
        <f>AR12+AO13</f>
        <v>0.98762654668166483</v>
      </c>
      <c r="AS13" s="90">
        <f>AS12+AP13</f>
        <v>0.98762654668166483</v>
      </c>
      <c r="AT13" s="88">
        <f>AT12-AN12</f>
        <v>20</v>
      </c>
      <c r="AU13" s="89">
        <f>AU12-AO12</f>
        <v>2.2497187851518542E-2</v>
      </c>
      <c r="AV13" s="90">
        <f>AV12-AP12</f>
        <v>2.2497187851518542E-2</v>
      </c>
      <c r="AW13" s="94">
        <f>AVERAGE(AK13:AL13)</f>
        <v>211</v>
      </c>
      <c r="AX13" s="94"/>
      <c r="AY13" s="94"/>
      <c r="AZ13" s="94"/>
      <c r="BA13" s="94"/>
      <c r="BB13" s="94"/>
      <c r="BO13" s="6"/>
      <c r="BP13">
        <v>0</v>
      </c>
    </row>
    <row r="14" spans="1:90" ht="15.75">
      <c r="A14">
        <v>1</v>
      </c>
      <c r="C14" s="95">
        <f>C13+$F$4</f>
        <v>35.42</v>
      </c>
      <c r="D14" s="95">
        <f>D13+$F$4</f>
        <v>41.42</v>
      </c>
      <c r="E14" s="96" t="str">
        <f>TEXT(C14, "0") &amp; " - " &amp; TEXT(D14, "0")</f>
        <v>35 - 41</v>
      </c>
      <c r="F14" s="96">
        <v>93</v>
      </c>
      <c r="G14" s="97">
        <f>F14/$F$21</f>
        <v>0.10461192350956131</v>
      </c>
      <c r="H14" s="98">
        <f>G14</f>
        <v>0.10461192350956131</v>
      </c>
      <c r="I14" s="96">
        <f>I13+F14</f>
        <v>748</v>
      </c>
      <c r="J14" s="97">
        <f>J13+G14</f>
        <v>0.84139482564679402</v>
      </c>
      <c r="K14" s="98">
        <f>K13+H14</f>
        <v>0.84139482564679402</v>
      </c>
      <c r="L14" s="96">
        <f>L13-F13</f>
        <v>234</v>
      </c>
      <c r="M14" s="97">
        <f>M13-G13</f>
        <v>0.26321709786276698</v>
      </c>
      <c r="N14" s="98">
        <f>N13-H13</f>
        <v>0.26321709786276698</v>
      </c>
      <c r="O14" s="99">
        <f>AVERAGE(C14:D14)</f>
        <v>38.42</v>
      </c>
      <c r="P14" s="99"/>
      <c r="Q14" s="99"/>
      <c r="R14" s="99"/>
      <c r="S14" s="99"/>
      <c r="T14" s="99"/>
      <c r="AH14" s="6"/>
      <c r="AI14" s="33">
        <v>0</v>
      </c>
      <c r="AK14" s="95">
        <f>AK13+$AN$4</f>
        <v>235</v>
      </c>
      <c r="AL14" s="95">
        <f>AL13+$AN$4</f>
        <v>281</v>
      </c>
      <c r="AM14" s="96" t="str">
        <f>TEXT(AK14, "0") &amp; " - " &amp; TEXT(AL14, "0")</f>
        <v>235 - 281</v>
      </c>
      <c r="AN14" s="96">
        <v>8</v>
      </c>
      <c r="AO14" s="97">
        <f>AN14/'Estadísticos Descriptivos'!$F$21</f>
        <v>8.9988751406074249E-3</v>
      </c>
      <c r="AP14" s="102">
        <f>AO14</f>
        <v>8.9988751406074249E-3</v>
      </c>
      <c r="AQ14" s="96">
        <f>AQ13+AN14</f>
        <v>886</v>
      </c>
      <c r="AR14" s="97">
        <f>AR13+AO14</f>
        <v>0.99662542182227221</v>
      </c>
      <c r="AS14" s="98">
        <f>AS13+AP14</f>
        <v>0.99662542182227221</v>
      </c>
      <c r="AT14" s="96">
        <f>AT13-AN13</f>
        <v>11</v>
      </c>
      <c r="AU14" s="97">
        <f>AU13-AO13</f>
        <v>1.2373453318335189E-2</v>
      </c>
      <c r="AV14" s="98">
        <f>AV13-AP13</f>
        <v>1.2373453318335189E-2</v>
      </c>
      <c r="AW14" s="99">
        <f>AVERAGE(AK14:AL14)</f>
        <v>258</v>
      </c>
      <c r="AX14" s="99"/>
      <c r="AY14" s="99"/>
      <c r="AZ14" s="99"/>
      <c r="BA14" s="99"/>
      <c r="BB14" s="99"/>
      <c r="BO14" s="6"/>
      <c r="BP14">
        <v>0</v>
      </c>
      <c r="BS14" s="44" t="s">
        <v>19</v>
      </c>
    </row>
    <row r="15" spans="1:90" ht="17.25">
      <c r="A15">
        <v>1</v>
      </c>
      <c r="C15" s="87">
        <f>C14+$F$4</f>
        <v>42.42</v>
      </c>
      <c r="D15" s="87">
        <f>D14+$F$4</f>
        <v>48.42</v>
      </c>
      <c r="E15" s="88" t="str">
        <f>TEXT(C15, "0") &amp; " - " &amp; TEXT(D15, "0")</f>
        <v>42 - 48</v>
      </c>
      <c r="F15" s="88">
        <v>62</v>
      </c>
      <c r="G15" s="89">
        <f>F15/$F$21</f>
        <v>6.9741282339707542E-2</v>
      </c>
      <c r="H15" s="90">
        <f>G15</f>
        <v>6.9741282339707542E-2</v>
      </c>
      <c r="I15" s="88">
        <f>I14+F15</f>
        <v>810</v>
      </c>
      <c r="J15" s="89">
        <f>J14+G15</f>
        <v>0.91113610798650158</v>
      </c>
      <c r="K15" s="90">
        <f>K14+H15</f>
        <v>0.91113610798650158</v>
      </c>
      <c r="L15" s="88">
        <f>L14-F14</f>
        <v>141</v>
      </c>
      <c r="M15" s="89">
        <f>M14-G14</f>
        <v>0.15860517435320567</v>
      </c>
      <c r="N15" s="90">
        <f>N14-H14</f>
        <v>0.15860517435320567</v>
      </c>
      <c r="O15" s="94">
        <f>AVERAGE(C15:D15)</f>
        <v>45.42</v>
      </c>
      <c r="P15" s="94"/>
      <c r="Q15" s="94"/>
      <c r="R15" s="94"/>
      <c r="S15" s="94"/>
      <c r="T15" s="94"/>
      <c r="AH15" s="6"/>
      <c r="AI15" s="33">
        <v>0</v>
      </c>
      <c r="AK15" s="95">
        <f>AK14+$AN$4</f>
        <v>282</v>
      </c>
      <c r="AL15" s="95">
        <f>AL14+$AN$4</f>
        <v>328</v>
      </c>
      <c r="AM15" s="88" t="str">
        <f>TEXT(AK15, "0") &amp; " - " &amp; TEXT(AL15, "0")</f>
        <v>282 - 328</v>
      </c>
      <c r="AN15" s="88">
        <v>0</v>
      </c>
      <c r="AO15" s="89">
        <f>AN15/'Estadísticos Descriptivos'!$F$21</f>
        <v>0</v>
      </c>
      <c r="AP15" s="100">
        <f>AO15</f>
        <v>0</v>
      </c>
      <c r="AQ15" s="88">
        <f>AQ14+AN15</f>
        <v>886</v>
      </c>
      <c r="AR15" s="89">
        <f>AR14+AO15</f>
        <v>0.99662542182227221</v>
      </c>
      <c r="AS15" s="90">
        <f>AS14+AP15</f>
        <v>0.99662542182227221</v>
      </c>
      <c r="AT15" s="88">
        <f>AT14-AN14</f>
        <v>3</v>
      </c>
      <c r="AU15" s="89">
        <f>AU14-AO14</f>
        <v>3.3745781777277644E-3</v>
      </c>
      <c r="AV15" s="90">
        <f>AV14-AP14</f>
        <v>3.3745781777277644E-3</v>
      </c>
      <c r="AW15" s="94">
        <f>AVERAGE(AK15:AL15)</f>
        <v>305</v>
      </c>
      <c r="AX15" s="94"/>
      <c r="AY15" s="94"/>
      <c r="AZ15" s="94"/>
      <c r="BA15" s="94"/>
      <c r="BB15" s="94"/>
      <c r="BO15" s="6"/>
      <c r="BP15">
        <v>0</v>
      </c>
      <c r="BS15" s="5" t="s">
        <v>90</v>
      </c>
    </row>
    <row r="16" spans="1:90" ht="15" customHeight="1">
      <c r="A16">
        <v>2</v>
      </c>
      <c r="B16" s="84"/>
      <c r="C16" s="95">
        <f>C15+$F$4</f>
        <v>49.42</v>
      </c>
      <c r="D16" s="95">
        <f>D15+$F$4</f>
        <v>55.42</v>
      </c>
      <c r="E16" s="96" t="str">
        <f>TEXT(C16, "0") &amp; " - " &amp; TEXT(D16, "0")</f>
        <v>49 - 55</v>
      </c>
      <c r="F16" s="96">
        <v>40</v>
      </c>
      <c r="G16" s="97">
        <f>F16/$F$21</f>
        <v>4.4994375703037118E-2</v>
      </c>
      <c r="H16" s="98">
        <f>G16</f>
        <v>4.4994375703037118E-2</v>
      </c>
      <c r="I16" s="96">
        <f>I15+F16</f>
        <v>850</v>
      </c>
      <c r="J16" s="97">
        <f>J15+G16</f>
        <v>0.95613048368953868</v>
      </c>
      <c r="K16" s="98">
        <f>K15+H16</f>
        <v>0.95613048368953868</v>
      </c>
      <c r="L16" s="96">
        <f>L15-F15</f>
        <v>79</v>
      </c>
      <c r="M16" s="97">
        <f>M15-G15</f>
        <v>8.8863892013498133E-2</v>
      </c>
      <c r="N16" s="98">
        <f>N15-H15</f>
        <v>8.8863892013498133E-2</v>
      </c>
      <c r="O16" s="99">
        <f>AVERAGE(C16:D16)</f>
        <v>52.42</v>
      </c>
      <c r="P16" s="99"/>
      <c r="Q16" s="99"/>
      <c r="R16" s="99"/>
      <c r="S16" s="99"/>
      <c r="T16" s="99"/>
      <c r="AH16" s="6"/>
      <c r="AI16" s="33">
        <v>0</v>
      </c>
      <c r="AK16" s="95">
        <f>AK15+$AN$4</f>
        <v>329</v>
      </c>
      <c r="AL16" s="95">
        <f>AL15+$AN$4</f>
        <v>375</v>
      </c>
      <c r="AM16" s="96" t="str">
        <f>TEXT(AK16, "0") &amp; " - " &amp; TEXT(AL16, "0")</f>
        <v>329 - 375</v>
      </c>
      <c r="AN16" s="96">
        <v>0</v>
      </c>
      <c r="AO16" s="97">
        <f>AN16/'Estadísticos Descriptivos'!$F$21</f>
        <v>0</v>
      </c>
      <c r="AP16" s="102">
        <f>AO16</f>
        <v>0</v>
      </c>
      <c r="AQ16" s="96">
        <f>AQ15+AN16</f>
        <v>886</v>
      </c>
      <c r="AR16" s="97">
        <f>AR15+AO16</f>
        <v>0.99662542182227221</v>
      </c>
      <c r="AS16" s="98">
        <f>AS15+AP16</f>
        <v>0.99662542182227221</v>
      </c>
      <c r="AT16" s="96">
        <f>AT15-AN15</f>
        <v>3</v>
      </c>
      <c r="AU16" s="97">
        <f>AU15-AO15</f>
        <v>3.3745781777277644E-3</v>
      </c>
      <c r="AV16" s="98">
        <f>AV15-AP15</f>
        <v>3.3745781777277644E-3</v>
      </c>
      <c r="AW16" s="99">
        <f>AVERAGE(AK16:AL16)</f>
        <v>352</v>
      </c>
      <c r="AX16" s="99"/>
      <c r="AY16" s="99"/>
      <c r="AZ16" s="99"/>
      <c r="BA16" s="99"/>
      <c r="BB16" s="99"/>
      <c r="BO16" s="6"/>
      <c r="BP16">
        <v>0</v>
      </c>
      <c r="BS16" s="5" t="s">
        <v>91</v>
      </c>
    </row>
    <row r="17" spans="1:79" ht="15" customHeight="1">
      <c r="A17">
        <v>2</v>
      </c>
      <c r="B17" s="84"/>
      <c r="C17" s="87">
        <f>C16+$F$4</f>
        <v>56.42</v>
      </c>
      <c r="D17" s="87">
        <f>D16+$F$4</f>
        <v>62.42</v>
      </c>
      <c r="E17" s="88" t="str">
        <f>TEXT(C17, "0") &amp; " - " &amp; TEXT(D17, "0")</f>
        <v>56 - 62</v>
      </c>
      <c r="F17" s="88">
        <v>24</v>
      </c>
      <c r="G17" s="89">
        <f>F17/$F$21</f>
        <v>2.6996625421822271E-2</v>
      </c>
      <c r="H17" s="90">
        <f>G17</f>
        <v>2.6996625421822271E-2</v>
      </c>
      <c r="I17" s="88">
        <f>I16+F17</f>
        <v>874</v>
      </c>
      <c r="J17" s="89">
        <f>J16+G17</f>
        <v>0.98312710911136092</v>
      </c>
      <c r="K17" s="90">
        <f>K16+H17</f>
        <v>0.98312710911136092</v>
      </c>
      <c r="L17" s="88">
        <f>L16-F16</f>
        <v>39</v>
      </c>
      <c r="M17" s="89">
        <f>M16-G16</f>
        <v>4.3869516310461015E-2</v>
      </c>
      <c r="N17" s="90">
        <f>N16-H16</f>
        <v>4.3869516310461015E-2</v>
      </c>
      <c r="O17" s="94">
        <f>AVERAGE(C17:D17)</f>
        <v>59.42</v>
      </c>
      <c r="P17" s="94"/>
      <c r="Q17" s="94"/>
      <c r="R17" s="94"/>
      <c r="S17" s="94"/>
      <c r="T17" s="94"/>
      <c r="AH17" s="6"/>
      <c r="AI17" s="33">
        <v>4.0125000000000002</v>
      </c>
      <c r="AK17" s="95">
        <f>AK16+$AN$4</f>
        <v>376</v>
      </c>
      <c r="AL17" s="95">
        <f>AL16+$AN$4</f>
        <v>422</v>
      </c>
      <c r="AM17" s="88" t="str">
        <f>TEXT(AK17, "0") &amp; " - " &amp; TEXT(AL17, "0")</f>
        <v>376 - 422</v>
      </c>
      <c r="AN17" s="88">
        <v>0</v>
      </c>
      <c r="AO17" s="89">
        <f>AN17/'Estadísticos Descriptivos'!$F$21</f>
        <v>0</v>
      </c>
      <c r="AP17" s="100">
        <f>AO17</f>
        <v>0</v>
      </c>
      <c r="AQ17" s="88">
        <f>AQ16+AN17</f>
        <v>886</v>
      </c>
      <c r="AR17" s="89">
        <f>AR16+AO17</f>
        <v>0.99662542182227221</v>
      </c>
      <c r="AS17" s="90">
        <f>AS16+AP17</f>
        <v>0.99662542182227221</v>
      </c>
      <c r="AT17" s="88">
        <f>AT16-AN16</f>
        <v>3</v>
      </c>
      <c r="AU17" s="89">
        <f>AU16-AO16</f>
        <v>3.3745781777277644E-3</v>
      </c>
      <c r="AV17" s="90">
        <f>AV16-AP16</f>
        <v>3.3745781777277644E-3</v>
      </c>
      <c r="AW17" s="94">
        <f>AVERAGE(AK17:AL17)</f>
        <v>399</v>
      </c>
      <c r="AX17" s="94"/>
      <c r="AY17" s="94"/>
      <c r="AZ17" s="94"/>
      <c r="BA17" s="94"/>
      <c r="BB17" s="94"/>
      <c r="BO17" s="6"/>
      <c r="BP17">
        <v>0</v>
      </c>
      <c r="BS17" s="5" t="s">
        <v>92</v>
      </c>
    </row>
    <row r="18" spans="1:79" ht="17.25">
      <c r="A18">
        <v>2</v>
      </c>
      <c r="C18" s="95">
        <f>C17+$F$4</f>
        <v>63.42</v>
      </c>
      <c r="D18" s="95">
        <f>D17+$F$4</f>
        <v>69.42</v>
      </c>
      <c r="E18" s="96" t="str">
        <f>TEXT(C18, "0") &amp; " - " &amp; TEXT(D18, "0")</f>
        <v>63 - 69</v>
      </c>
      <c r="F18" s="96">
        <v>8</v>
      </c>
      <c r="G18" s="97">
        <f>F18/$F$21</f>
        <v>8.9988751406074249E-3</v>
      </c>
      <c r="H18" s="98">
        <f>G18</f>
        <v>8.9988751406074249E-3</v>
      </c>
      <c r="I18" s="96">
        <f>I17+F18</f>
        <v>882</v>
      </c>
      <c r="J18" s="97">
        <f>J17+G18</f>
        <v>0.9921259842519683</v>
      </c>
      <c r="K18" s="98">
        <f>K17+H18</f>
        <v>0.9921259842519683</v>
      </c>
      <c r="L18" s="96">
        <f>L17-F17</f>
        <v>15</v>
      </c>
      <c r="M18" s="97">
        <f>M17-G17</f>
        <v>1.6872890888638744E-2</v>
      </c>
      <c r="N18" s="98">
        <f>N17-H17</f>
        <v>1.6872890888638744E-2</v>
      </c>
      <c r="O18" s="99">
        <f>AVERAGE(C18:D18)</f>
        <v>66.42</v>
      </c>
      <c r="P18" s="99"/>
      <c r="Q18" s="99"/>
      <c r="R18" s="99"/>
      <c r="S18" s="99"/>
      <c r="T18" s="99"/>
      <c r="AH18" s="6"/>
      <c r="AI18" s="33">
        <v>5</v>
      </c>
      <c r="AK18" s="95">
        <f>AK17+$AN$4</f>
        <v>423</v>
      </c>
      <c r="AL18" s="95">
        <f>AL17+$AN$4</f>
        <v>469</v>
      </c>
      <c r="AM18" s="96" t="str">
        <f>TEXT(AK18, "0") &amp; " - " &amp; TEXT(AL18, "0")</f>
        <v>423 - 469</v>
      </c>
      <c r="AN18" s="96">
        <v>0</v>
      </c>
      <c r="AO18" s="97">
        <f>AN18/'Estadísticos Descriptivos'!$F$21</f>
        <v>0</v>
      </c>
      <c r="AP18" s="102">
        <f>AO18</f>
        <v>0</v>
      </c>
      <c r="AQ18" s="96">
        <f>AQ17+AN18</f>
        <v>886</v>
      </c>
      <c r="AR18" s="97">
        <f>AR17+AO18</f>
        <v>0.99662542182227221</v>
      </c>
      <c r="AS18" s="98">
        <f>AS17+AP18</f>
        <v>0.99662542182227221</v>
      </c>
      <c r="AT18" s="96">
        <f>AT17-AN17</f>
        <v>3</v>
      </c>
      <c r="AU18" s="97">
        <f>AU17-AO17</f>
        <v>3.3745781777277644E-3</v>
      </c>
      <c r="AV18" s="98">
        <f>AV17-AP17</f>
        <v>3.3745781777277644E-3</v>
      </c>
      <c r="AW18" s="99">
        <f>AVERAGE(AK18:AL18)</f>
        <v>446</v>
      </c>
      <c r="AX18" s="99"/>
      <c r="AY18" s="99"/>
      <c r="AZ18" s="99"/>
      <c r="BA18" s="99"/>
      <c r="BB18" s="99"/>
      <c r="BO18" s="6"/>
      <c r="BP18">
        <v>0</v>
      </c>
      <c r="BS18" s="5" t="s">
        <v>93</v>
      </c>
    </row>
    <row r="19" spans="1:79">
      <c r="A19">
        <v>2</v>
      </c>
      <c r="C19" s="87">
        <f>C18+$F$4</f>
        <v>70.42</v>
      </c>
      <c r="D19" s="87">
        <f>D18+$F$4</f>
        <v>76.42</v>
      </c>
      <c r="E19" s="88" t="str">
        <f>TEXT(C19, "0") &amp; " - " &amp; TEXT(D19, "0")</f>
        <v>70 - 76</v>
      </c>
      <c r="F19" s="88">
        <v>6</v>
      </c>
      <c r="G19" s="89">
        <f>F19/$F$21</f>
        <v>6.7491563554555678E-3</v>
      </c>
      <c r="H19" s="90">
        <f>G19</f>
        <v>6.7491563554555678E-3</v>
      </c>
      <c r="I19" s="88">
        <f>I18+F19</f>
        <v>888</v>
      </c>
      <c r="J19" s="89">
        <f>J18+G19</f>
        <v>0.99887514060742388</v>
      </c>
      <c r="K19" s="90">
        <f>K18+H19</f>
        <v>0.99887514060742388</v>
      </c>
      <c r="L19" s="88">
        <f>L18-F18</f>
        <v>7</v>
      </c>
      <c r="M19" s="89">
        <f>M18-G18</f>
        <v>7.874015748031319E-3</v>
      </c>
      <c r="N19" s="90">
        <f>N18-H18</f>
        <v>7.874015748031319E-3</v>
      </c>
      <c r="O19" s="94">
        <f>AVERAGE(C19:D19)</f>
        <v>73.42</v>
      </c>
      <c r="P19" s="94"/>
      <c r="Q19" s="94"/>
      <c r="R19" s="94"/>
      <c r="S19" s="94"/>
      <c r="T19" s="94"/>
      <c r="AH19" s="6"/>
      <c r="AI19" s="33">
        <v>6.2374999999999998</v>
      </c>
      <c r="AK19" s="95">
        <f>AK18+$AN$4</f>
        <v>470</v>
      </c>
      <c r="AL19" s="95">
        <f>AL18+$AN$4</f>
        <v>516</v>
      </c>
      <c r="AM19" s="88" t="str">
        <f>TEXT(AK19, "0") &amp; " - " &amp; TEXT(AL19, "0")</f>
        <v>470 - 516</v>
      </c>
      <c r="AN19" s="88">
        <v>3</v>
      </c>
      <c r="AO19" s="89">
        <f>AN19/'Estadísticos Descriptivos'!$F$21</f>
        <v>3.3745781777277839E-3</v>
      </c>
      <c r="AP19" s="100">
        <f>AO19</f>
        <v>3.3745781777277839E-3</v>
      </c>
      <c r="AQ19" s="91">
        <f>AQ18+AN19</f>
        <v>889</v>
      </c>
      <c r="AR19" s="92">
        <f>AR18+AO19</f>
        <v>1</v>
      </c>
      <c r="AS19" s="93">
        <f>AS18+AP19</f>
        <v>1</v>
      </c>
      <c r="AT19" s="88">
        <f>AT18-AN18</f>
        <v>3</v>
      </c>
      <c r="AU19" s="89">
        <f>AU18-AO18</f>
        <v>3.3745781777277644E-3</v>
      </c>
      <c r="AV19" s="90">
        <f>AV18-AP18</f>
        <v>3.3745781777277644E-3</v>
      </c>
      <c r="AW19" s="94">
        <f>AVERAGE(AK19:AL19)</f>
        <v>493</v>
      </c>
      <c r="AX19" s="94"/>
      <c r="AY19" s="94"/>
      <c r="AZ19" s="94"/>
      <c r="BA19" s="94"/>
      <c r="BB19" s="94"/>
      <c r="BO19" s="6"/>
      <c r="BP19">
        <v>0</v>
      </c>
    </row>
    <row r="20" spans="1:79" ht="15.75">
      <c r="A20">
        <v>2</v>
      </c>
      <c r="C20" s="95">
        <f>C19+$F$4</f>
        <v>77.42</v>
      </c>
      <c r="D20" s="95">
        <f>D19+$F$4</f>
        <v>83.42</v>
      </c>
      <c r="E20" s="96" t="str">
        <f>TEXT(C20, "0") &amp; " - " &amp; TEXT(D20, "0")</f>
        <v>77 - 83</v>
      </c>
      <c r="F20" s="96">
        <v>1</v>
      </c>
      <c r="G20" s="97">
        <f>F20/$F$21</f>
        <v>1.1248593925759281E-3</v>
      </c>
      <c r="H20" s="98">
        <f>G20</f>
        <v>1.1248593925759281E-3</v>
      </c>
      <c r="I20" s="91">
        <f>I19+F20</f>
        <v>889</v>
      </c>
      <c r="J20" s="92">
        <f>J19+G20</f>
        <v>0.99999999999999978</v>
      </c>
      <c r="K20" s="93">
        <f>K19+H20</f>
        <v>0.99999999999999978</v>
      </c>
      <c r="L20" s="96">
        <f>L19-F19</f>
        <v>1</v>
      </c>
      <c r="M20" s="97">
        <f>M19-G19</f>
        <v>1.1248593925757512E-3</v>
      </c>
      <c r="N20" s="98">
        <f>N19-H19</f>
        <v>1.1248593925757512E-3</v>
      </c>
      <c r="O20" s="99">
        <f>AVERAGE(C20:D20)</f>
        <v>80.42</v>
      </c>
      <c r="P20" s="99"/>
      <c r="Q20" s="99"/>
      <c r="R20" s="99"/>
      <c r="S20" s="99"/>
      <c r="T20" s="99"/>
      <c r="AH20" s="6"/>
      <c r="AI20" s="33">
        <v>6.4375</v>
      </c>
      <c r="AK20" s="103" t="s">
        <v>18</v>
      </c>
      <c r="AL20" s="95"/>
      <c r="AM20" s="96"/>
      <c r="AN20" s="91">
        <f>SUM(AN9:AN19)</f>
        <v>889</v>
      </c>
      <c r="AO20" s="101">
        <f>SUM(AO9:AO19)</f>
        <v>1</v>
      </c>
      <c r="AP20" s="93">
        <f>AO20</f>
        <v>1</v>
      </c>
      <c r="AQ20" s="70"/>
      <c r="AR20" s="70"/>
      <c r="AS20" s="70"/>
      <c r="AT20" s="70"/>
      <c r="AU20" s="70"/>
      <c r="AV20" s="70"/>
      <c r="AW20" s="70"/>
      <c r="BO20" s="6"/>
      <c r="BP20">
        <v>0</v>
      </c>
      <c r="BR20" s="44" t="s">
        <v>20</v>
      </c>
      <c r="CA20" s="2" t="s">
        <v>20</v>
      </c>
    </row>
    <row r="21" spans="1:79">
      <c r="A21">
        <v>2</v>
      </c>
      <c r="C21" s="70"/>
      <c r="D21" s="70"/>
      <c r="E21" s="70"/>
      <c r="F21" s="91">
        <f>SUM(F9:F20)</f>
        <v>889</v>
      </c>
      <c r="G21" s="92">
        <f>SUM(G9:G20)</f>
        <v>0.99999999999999978</v>
      </c>
      <c r="H21" s="93">
        <f>SUM(H9:H20)</f>
        <v>0.99999999999999978</v>
      </c>
      <c r="I21" s="70"/>
      <c r="J21" s="70"/>
      <c r="K21" s="70"/>
      <c r="L21" s="70"/>
      <c r="M21" s="70"/>
      <c r="N21" s="70"/>
      <c r="O21" s="70"/>
      <c r="AH21" s="6"/>
      <c r="AI21" s="33">
        <v>6.45</v>
      </c>
      <c r="BO21" s="6"/>
      <c r="BP21">
        <v>0</v>
      </c>
      <c r="BR21" s="3" t="s">
        <v>26</v>
      </c>
      <c r="CA21" s="3" t="s">
        <v>72</v>
      </c>
    </row>
    <row r="22" spans="1:79" ht="15.75">
      <c r="A22">
        <v>2</v>
      </c>
      <c r="AH22" s="6"/>
      <c r="AI22" s="33">
        <v>6.4958</v>
      </c>
      <c r="AK22" s="44" t="s">
        <v>19</v>
      </c>
      <c r="BO22" s="6"/>
      <c r="BP22">
        <v>0</v>
      </c>
      <c r="BR22" s="4" t="s">
        <v>94</v>
      </c>
      <c r="CA22" s="4" t="s">
        <v>95</v>
      </c>
    </row>
    <row r="23" spans="1:79" ht="17.25">
      <c r="A23">
        <v>2</v>
      </c>
      <c r="C23" s="44" t="s">
        <v>19</v>
      </c>
      <c r="AH23" s="6"/>
      <c r="AI23" s="33">
        <v>6.4958</v>
      </c>
      <c r="AK23" s="5" t="s">
        <v>106</v>
      </c>
      <c r="BO23" s="6"/>
      <c r="BP23">
        <v>0</v>
      </c>
    </row>
    <row r="24" spans="1:79" ht="17.25">
      <c r="A24">
        <v>2</v>
      </c>
      <c r="C24" s="5" t="s">
        <v>68</v>
      </c>
      <c r="AH24" s="6"/>
      <c r="AI24" s="33">
        <v>6.75</v>
      </c>
      <c r="AK24" s="5" t="s">
        <v>107</v>
      </c>
      <c r="BO24" s="6"/>
      <c r="BP24">
        <v>0</v>
      </c>
    </row>
    <row r="25" spans="1:79" ht="17.25">
      <c r="A25">
        <v>2</v>
      </c>
      <c r="C25" s="5" t="s">
        <v>69</v>
      </c>
      <c r="AH25" s="6"/>
      <c r="AI25" s="33">
        <v>6.75</v>
      </c>
      <c r="AK25" s="5" t="s">
        <v>108</v>
      </c>
      <c r="BO25" s="6"/>
      <c r="BP25">
        <v>0</v>
      </c>
    </row>
    <row r="26" spans="1:79" ht="17.25">
      <c r="A26">
        <v>3</v>
      </c>
      <c r="C26" s="5" t="s">
        <v>70</v>
      </c>
      <c r="AH26" s="6"/>
      <c r="AI26" s="33">
        <v>6.8582999999999998</v>
      </c>
      <c r="AK26" s="5" t="s">
        <v>109</v>
      </c>
      <c r="BO26" s="6"/>
      <c r="BP26">
        <v>0</v>
      </c>
    </row>
    <row r="27" spans="1:79" ht="17.25">
      <c r="A27">
        <v>3</v>
      </c>
      <c r="C27" s="5" t="s">
        <v>71</v>
      </c>
      <c r="AH27" s="6"/>
      <c r="AI27" s="33">
        <v>6.95</v>
      </c>
      <c r="AK27" s="5" t="s">
        <v>110</v>
      </c>
      <c r="BO27" s="6"/>
      <c r="BP27">
        <v>0</v>
      </c>
    </row>
    <row r="28" spans="1:79">
      <c r="A28">
        <v>3</v>
      </c>
      <c r="AH28" s="6"/>
      <c r="AI28" s="33">
        <v>6.9749999999999996</v>
      </c>
      <c r="BO28" s="6"/>
      <c r="BP28">
        <v>0</v>
      </c>
    </row>
    <row r="29" spans="1:79" ht="15" customHeight="1">
      <c r="A29">
        <v>3</v>
      </c>
      <c r="C29" s="2" t="s">
        <v>20</v>
      </c>
      <c r="M29" s="2" t="s">
        <v>20</v>
      </c>
      <c r="X29" s="2" t="s">
        <v>20</v>
      </c>
      <c r="AH29" s="6"/>
      <c r="AI29" s="33">
        <v>6.9749999999999996</v>
      </c>
      <c r="AK29" s="2" t="s">
        <v>20</v>
      </c>
      <c r="AU29" s="2" t="s">
        <v>20</v>
      </c>
      <c r="BE29" s="2" t="s">
        <v>20</v>
      </c>
      <c r="BO29" s="6"/>
      <c r="BP29">
        <v>0</v>
      </c>
    </row>
    <row r="30" spans="1:79">
      <c r="A30">
        <v>3</v>
      </c>
      <c r="C30" s="3" t="s">
        <v>72</v>
      </c>
      <c r="M30" s="3" t="s">
        <v>75</v>
      </c>
      <c r="X30" s="3" t="s">
        <v>75</v>
      </c>
      <c r="AH30" s="6"/>
      <c r="AI30" s="33">
        <v>7.0457999999999998</v>
      </c>
      <c r="AK30" s="3" t="s">
        <v>72</v>
      </c>
      <c r="AU30" s="3" t="s">
        <v>75</v>
      </c>
      <c r="BE30" s="3" t="s">
        <v>75</v>
      </c>
      <c r="BO30" s="6"/>
      <c r="BP30">
        <v>0</v>
      </c>
    </row>
    <row r="31" spans="1:79">
      <c r="A31">
        <v>3</v>
      </c>
      <c r="C31" s="4" t="s">
        <v>73</v>
      </c>
      <c r="M31" s="4" t="s">
        <v>76</v>
      </c>
      <c r="X31" s="4" t="s">
        <v>78</v>
      </c>
      <c r="AH31" s="6"/>
      <c r="AI31" s="33">
        <v>7.05</v>
      </c>
      <c r="AK31" s="4" t="s">
        <v>111</v>
      </c>
      <c r="AU31" s="4" t="s">
        <v>112</v>
      </c>
      <c r="BE31" s="4" t="s">
        <v>114</v>
      </c>
      <c r="BO31" s="6"/>
      <c r="BP31">
        <v>0</v>
      </c>
    </row>
    <row r="32" spans="1:79" ht="15" customHeight="1">
      <c r="A32">
        <v>4</v>
      </c>
      <c r="AH32" s="6"/>
      <c r="AI32" s="33">
        <v>7.05</v>
      </c>
      <c r="BO32" s="6"/>
      <c r="BP32">
        <v>0</v>
      </c>
    </row>
    <row r="33" spans="1:84">
      <c r="A33">
        <v>4</v>
      </c>
      <c r="AH33" s="6"/>
      <c r="AI33" s="33">
        <v>7.05</v>
      </c>
      <c r="BO33" s="6"/>
      <c r="BP33">
        <v>0</v>
      </c>
    </row>
    <row r="34" spans="1:84">
      <c r="A34">
        <v>4</v>
      </c>
      <c r="AH34" s="6"/>
      <c r="AI34" s="33">
        <v>7.05</v>
      </c>
      <c r="BO34" s="6"/>
      <c r="BP34">
        <v>0</v>
      </c>
    </row>
    <row r="35" spans="1:84">
      <c r="A35">
        <v>4</v>
      </c>
      <c r="AH35" s="6"/>
      <c r="AI35" s="33">
        <v>7.05</v>
      </c>
      <c r="BO35" s="6"/>
      <c r="BP35">
        <v>0</v>
      </c>
      <c r="BR35" s="1" t="s">
        <v>24</v>
      </c>
      <c r="CA35" s="1" t="s">
        <v>24</v>
      </c>
    </row>
    <row r="36" spans="1:84">
      <c r="A36">
        <v>4</v>
      </c>
      <c r="AH36" s="6"/>
      <c r="AI36" s="33">
        <v>7.05</v>
      </c>
      <c r="BO36" s="6"/>
      <c r="BP36">
        <v>0</v>
      </c>
    </row>
    <row r="37" spans="1:84">
      <c r="A37">
        <v>4</v>
      </c>
      <c r="AH37" s="6"/>
      <c r="AI37" s="33">
        <v>7.05</v>
      </c>
      <c r="BO37" s="6"/>
      <c r="BP37">
        <v>0</v>
      </c>
    </row>
    <row r="38" spans="1:84">
      <c r="A38">
        <v>4</v>
      </c>
      <c r="AH38" s="6"/>
      <c r="AI38" s="33">
        <v>7.0541999999999998</v>
      </c>
      <c r="BO38" s="6"/>
      <c r="BP38">
        <v>0</v>
      </c>
      <c r="BR38" s="73" t="s">
        <v>230</v>
      </c>
      <c r="BS38" s="71"/>
      <c r="BT38" s="71"/>
      <c r="BU38" s="71"/>
      <c r="BV38" s="71"/>
      <c r="BW38" s="71"/>
      <c r="BX38" s="71"/>
      <c r="BY38" s="71"/>
      <c r="BZ38" s="71"/>
      <c r="CF38" s="73" t="s">
        <v>231</v>
      </c>
    </row>
    <row r="39" spans="1:84" ht="17.25">
      <c r="A39">
        <v>4</v>
      </c>
      <c r="AH39" s="6"/>
      <c r="AI39" s="33">
        <v>7.0541999999999998</v>
      </c>
      <c r="BO39" s="6"/>
      <c r="BP39">
        <v>0</v>
      </c>
      <c r="BR39" s="74" t="s">
        <v>232</v>
      </c>
      <c r="BS39" s="71"/>
      <c r="BT39" s="71"/>
      <c r="BU39" s="71"/>
      <c r="BV39" s="71"/>
      <c r="BW39" s="71"/>
      <c r="BX39" s="71"/>
      <c r="BY39" s="71"/>
      <c r="BZ39" s="71"/>
      <c r="CF39" s="5" t="s">
        <v>284</v>
      </c>
    </row>
    <row r="40" spans="1:84" ht="17.25">
      <c r="A40">
        <v>4</v>
      </c>
      <c r="AH40" s="6"/>
      <c r="AI40" s="33">
        <v>7.125</v>
      </c>
      <c r="BO40" s="6"/>
      <c r="BP40">
        <v>0</v>
      </c>
      <c r="BR40" s="72" t="s">
        <v>233</v>
      </c>
      <c r="BS40" s="71"/>
      <c r="BT40" s="71"/>
      <c r="BU40" s="71"/>
      <c r="BV40" s="71"/>
      <c r="BW40" s="71"/>
      <c r="BX40" s="71"/>
      <c r="BY40" s="71"/>
      <c r="BZ40" s="71"/>
      <c r="CF40" s="5" t="s">
        <v>285</v>
      </c>
    </row>
    <row r="41" spans="1:84" ht="16.5">
      <c r="A41">
        <v>4</v>
      </c>
      <c r="AH41" s="6"/>
      <c r="AI41" s="33">
        <v>7.125</v>
      </c>
      <c r="BO41" s="6"/>
      <c r="BP41">
        <v>0</v>
      </c>
      <c r="BR41" s="75" t="s">
        <v>234</v>
      </c>
      <c r="BS41" s="81">
        <f>AVERAGE(BP2:$BP$890)</f>
        <v>0.5241844769403825</v>
      </c>
      <c r="BT41" s="59" t="s">
        <v>273</v>
      </c>
      <c r="BU41" s="71"/>
      <c r="BV41" s="71"/>
      <c r="BW41" s="71"/>
      <c r="BX41" s="71"/>
      <c r="BY41" s="71"/>
      <c r="BZ41" s="71"/>
    </row>
    <row r="42" spans="1:84">
      <c r="A42">
        <v>5</v>
      </c>
      <c r="AH42" s="6"/>
      <c r="AI42" s="33">
        <v>7.125</v>
      </c>
      <c r="BO42" s="6"/>
      <c r="BP42">
        <v>0</v>
      </c>
      <c r="BR42" s="71"/>
      <c r="BS42" s="33"/>
      <c r="BT42" s="71"/>
      <c r="BU42" s="71"/>
      <c r="BV42" s="71"/>
      <c r="BW42" s="71"/>
      <c r="BX42" s="71"/>
      <c r="BY42" s="71"/>
      <c r="BZ42" s="71"/>
    </row>
    <row r="43" spans="1:84">
      <c r="A43">
        <v>5</v>
      </c>
      <c r="AH43" s="6"/>
      <c r="AI43" s="33">
        <v>7.125</v>
      </c>
      <c r="BO43" s="6"/>
      <c r="BP43">
        <v>0</v>
      </c>
      <c r="BR43" s="72" t="s">
        <v>227</v>
      </c>
      <c r="BS43" s="33"/>
      <c r="BT43" s="71"/>
      <c r="BU43" s="71"/>
      <c r="BV43" s="71"/>
      <c r="BW43" s="71"/>
      <c r="BX43" s="71"/>
      <c r="BY43" s="71"/>
      <c r="BZ43" s="71"/>
    </row>
    <row r="44" spans="1:84" ht="16.5">
      <c r="A44">
        <v>5</v>
      </c>
      <c r="AH44" s="6"/>
      <c r="AI44" s="33">
        <v>7.1417000000000002</v>
      </c>
      <c r="BO44" s="6"/>
      <c r="BP44">
        <v>0</v>
      </c>
      <c r="BR44" s="71" t="s">
        <v>235</v>
      </c>
      <c r="BS44" s="81">
        <f>MEDIAN(BP2:$BP$890)</f>
        <v>0</v>
      </c>
      <c r="BT44" s="59" t="s">
        <v>274</v>
      </c>
      <c r="BU44" s="85"/>
      <c r="BV44" s="85"/>
      <c r="BW44" s="85"/>
      <c r="BX44" s="85"/>
      <c r="BY44" s="85"/>
      <c r="BZ44" s="85"/>
    </row>
    <row r="45" spans="1:84">
      <c r="A45">
        <v>5</v>
      </c>
      <c r="AH45" s="6"/>
      <c r="AI45" s="33">
        <v>7.2249999999999996</v>
      </c>
      <c r="BO45" s="6"/>
      <c r="BP45">
        <v>0</v>
      </c>
      <c r="BR45" s="71"/>
      <c r="BS45" s="33"/>
      <c r="BT45" s="85"/>
      <c r="BU45" s="85"/>
      <c r="BV45" s="85"/>
      <c r="BW45" s="85"/>
      <c r="BX45" s="85"/>
      <c r="BY45" s="85"/>
      <c r="BZ45" s="85"/>
    </row>
    <row r="46" spans="1:84">
      <c r="A46">
        <v>6</v>
      </c>
      <c r="AH46" s="6"/>
      <c r="AI46" s="33">
        <v>7.2249999999999996</v>
      </c>
      <c r="BO46" s="6"/>
      <c r="BP46">
        <v>0</v>
      </c>
      <c r="BR46" s="72" t="s">
        <v>228</v>
      </c>
      <c r="BS46" s="33"/>
      <c r="BT46" s="71"/>
      <c r="BU46" s="71"/>
      <c r="BV46" s="71"/>
      <c r="BW46" s="71"/>
      <c r="BX46" s="71"/>
      <c r="BY46" s="71"/>
      <c r="BZ46" s="71"/>
    </row>
    <row r="47" spans="1:84" ht="16.5">
      <c r="A47">
        <v>6</v>
      </c>
      <c r="C47" s="1" t="s">
        <v>24</v>
      </c>
      <c r="M47" s="1" t="s">
        <v>24</v>
      </c>
      <c r="X47" s="1" t="s">
        <v>24</v>
      </c>
      <c r="AH47" s="6"/>
      <c r="AI47" s="33">
        <v>7.2249999999999996</v>
      </c>
      <c r="AK47" s="1" t="s">
        <v>24</v>
      </c>
      <c r="AU47" s="1" t="s">
        <v>24</v>
      </c>
      <c r="BE47" s="1" t="s">
        <v>24</v>
      </c>
      <c r="BO47" s="6"/>
      <c r="BP47">
        <v>0</v>
      </c>
      <c r="BR47" s="71" t="s">
        <v>238</v>
      </c>
      <c r="BS47" s="81">
        <f>_xlfn.MODE.SNGL(BP2:$BP$890)</f>
        <v>0</v>
      </c>
      <c r="BT47" s="59" t="s">
        <v>275</v>
      </c>
      <c r="BU47" s="71"/>
      <c r="BV47" s="71"/>
      <c r="BW47" s="71"/>
      <c r="BX47" s="71"/>
      <c r="BY47" s="71"/>
      <c r="BZ47" s="71"/>
    </row>
    <row r="48" spans="1:84">
      <c r="A48">
        <v>6</v>
      </c>
      <c r="AH48" s="6"/>
      <c r="AI48" s="33">
        <v>7.2249999999999996</v>
      </c>
      <c r="BO48" s="6"/>
      <c r="BP48">
        <v>0</v>
      </c>
      <c r="BR48" s="71"/>
      <c r="BS48" s="71"/>
      <c r="BT48" s="71"/>
      <c r="BU48" s="71"/>
      <c r="BV48" s="71"/>
      <c r="BW48" s="71"/>
      <c r="BX48" s="71"/>
      <c r="BY48" s="71"/>
      <c r="BZ48" s="71"/>
    </row>
    <row r="49" spans="1:78">
      <c r="A49">
        <v>7</v>
      </c>
      <c r="AH49" s="6"/>
      <c r="AI49" s="33">
        <v>7.2249999999999996</v>
      </c>
      <c r="BO49" s="6"/>
      <c r="BP49">
        <v>0</v>
      </c>
      <c r="BR49" s="74" t="s">
        <v>239</v>
      </c>
      <c r="BS49" s="71"/>
      <c r="BT49" s="71"/>
      <c r="BU49" s="71"/>
      <c r="BV49" s="71"/>
      <c r="BW49" s="71"/>
      <c r="BX49" s="71"/>
      <c r="BY49" s="71"/>
      <c r="BZ49" s="71"/>
    </row>
    <row r="50" spans="1:78">
      <c r="A50">
        <v>7</v>
      </c>
      <c r="C50" s="2" t="s">
        <v>20</v>
      </c>
      <c r="M50" s="2" t="s">
        <v>20</v>
      </c>
      <c r="AH50" s="6"/>
      <c r="AI50" s="33">
        <v>7.2249999999999996</v>
      </c>
      <c r="AK50" s="2" t="s">
        <v>20</v>
      </c>
      <c r="AU50" s="2" t="s">
        <v>20</v>
      </c>
      <c r="BO50" s="6"/>
      <c r="BP50">
        <v>0</v>
      </c>
      <c r="BR50" s="72" t="s">
        <v>240</v>
      </c>
      <c r="BS50" s="71"/>
      <c r="BT50" s="71"/>
      <c r="BU50" s="71"/>
      <c r="BV50" s="71"/>
      <c r="BW50" s="71"/>
      <c r="BX50" s="71"/>
      <c r="BY50" s="71"/>
      <c r="BZ50" s="71"/>
    </row>
    <row r="51" spans="1:78" ht="16.5">
      <c r="A51">
        <v>7</v>
      </c>
      <c r="C51" s="3" t="s">
        <v>74</v>
      </c>
      <c r="M51" s="3" t="s">
        <v>75</v>
      </c>
      <c r="AH51" s="6"/>
      <c r="AI51" s="33">
        <v>7.2249999999999996</v>
      </c>
      <c r="AK51" s="3" t="s">
        <v>74</v>
      </c>
      <c r="AU51" s="3" t="s">
        <v>75</v>
      </c>
      <c r="BO51" s="6"/>
      <c r="BP51">
        <v>0</v>
      </c>
      <c r="BR51" s="71" t="s">
        <v>241</v>
      </c>
      <c r="BS51" s="76">
        <f>AVEDEV(BP2:$BP$890)</f>
        <v>0.71463620478261258</v>
      </c>
      <c r="BT51" s="59" t="s">
        <v>276</v>
      </c>
      <c r="BU51" s="71"/>
      <c r="BV51" s="71"/>
      <c r="BW51" s="71"/>
      <c r="BX51" s="71"/>
      <c r="BY51" s="71"/>
      <c r="BZ51" s="71"/>
    </row>
    <row r="52" spans="1:78">
      <c r="A52">
        <v>8</v>
      </c>
      <c r="C52" s="4" t="s">
        <v>115</v>
      </c>
      <c r="M52" s="4" t="s">
        <v>77</v>
      </c>
      <c r="AH52" s="6"/>
      <c r="AI52" s="33">
        <v>7.2249999999999996</v>
      </c>
      <c r="AK52" s="4" t="s">
        <v>116</v>
      </c>
      <c r="AU52" s="4" t="s">
        <v>113</v>
      </c>
      <c r="BO52" s="6"/>
      <c r="BP52">
        <v>0</v>
      </c>
      <c r="BR52" s="71"/>
      <c r="BS52" s="71"/>
      <c r="BT52" s="71"/>
      <c r="BU52" s="71"/>
      <c r="BV52" s="71"/>
      <c r="BW52" s="71"/>
      <c r="BX52" s="71"/>
      <c r="BY52" s="71"/>
      <c r="BZ52" s="71"/>
    </row>
    <row r="53" spans="1:78">
      <c r="A53">
        <v>8</v>
      </c>
      <c r="AH53" s="6"/>
      <c r="AI53" s="33">
        <v>7.2249999999999996</v>
      </c>
      <c r="BO53" s="6"/>
      <c r="BP53">
        <v>0</v>
      </c>
      <c r="BR53" s="72" t="s">
        <v>229</v>
      </c>
      <c r="BS53" s="71"/>
      <c r="BT53" s="71"/>
      <c r="BU53" s="71"/>
      <c r="BV53" s="71"/>
      <c r="BW53" s="71"/>
      <c r="BX53" s="71"/>
      <c r="BY53" s="71"/>
      <c r="BZ53" s="71"/>
    </row>
    <row r="54" spans="1:78" ht="17.25">
      <c r="A54">
        <v>8</v>
      </c>
      <c r="AH54" s="6"/>
      <c r="AI54" s="33">
        <v>7.2249999999999996</v>
      </c>
      <c r="BO54" s="6"/>
      <c r="BP54">
        <v>0</v>
      </c>
      <c r="BR54" s="71" t="s">
        <v>242</v>
      </c>
      <c r="BS54" s="76">
        <f>_xlfn.VAR.S(BP2:$BP$890)</f>
        <v>1.218164452416421</v>
      </c>
      <c r="BT54" s="71"/>
      <c r="BU54" s="71"/>
      <c r="BV54" s="71"/>
      <c r="BW54" s="71"/>
      <c r="BX54" s="71"/>
      <c r="BY54" s="71"/>
      <c r="BZ54" s="71"/>
    </row>
    <row r="55" spans="1:78">
      <c r="A55">
        <v>8</v>
      </c>
      <c r="AH55" s="6"/>
      <c r="AI55" s="33">
        <v>7.2249999999999996</v>
      </c>
      <c r="BO55" s="6"/>
      <c r="BP55">
        <v>0</v>
      </c>
      <c r="BR55" s="71"/>
      <c r="BS55" s="71"/>
      <c r="BT55" s="71"/>
      <c r="BU55" s="71"/>
      <c r="BV55" s="71"/>
      <c r="BW55" s="71"/>
      <c r="BX55" s="71"/>
      <c r="BY55" s="71"/>
      <c r="BZ55" s="71"/>
    </row>
    <row r="56" spans="1:78">
      <c r="A56">
        <v>9</v>
      </c>
      <c r="AH56" s="6"/>
      <c r="AI56" s="33">
        <v>7.2249999999999996</v>
      </c>
      <c r="BO56" s="6"/>
      <c r="BP56">
        <v>0</v>
      </c>
      <c r="BR56" s="72" t="s">
        <v>243</v>
      </c>
      <c r="BS56" s="71"/>
      <c r="BT56" s="71"/>
      <c r="BU56" s="71"/>
      <c r="BV56" s="71"/>
      <c r="BW56" s="71"/>
      <c r="BX56" s="71"/>
      <c r="BY56" s="71"/>
      <c r="BZ56" s="71"/>
    </row>
    <row r="57" spans="1:78" ht="16.5">
      <c r="A57">
        <v>9</v>
      </c>
      <c r="AH57" s="6"/>
      <c r="AI57" s="33">
        <v>7.2291999999999996</v>
      </c>
      <c r="BO57" s="6"/>
      <c r="BP57">
        <v>0</v>
      </c>
      <c r="BR57" s="71" t="s">
        <v>244</v>
      </c>
      <c r="BS57" s="76">
        <f>_xlfn.STDEV.S(BP2:$BP$890)</f>
        <v>1.1037048755969239</v>
      </c>
      <c r="BT57" s="59" t="s">
        <v>277</v>
      </c>
      <c r="BU57" s="71"/>
      <c r="BV57" s="71"/>
      <c r="BW57" s="71"/>
      <c r="BX57" s="71"/>
      <c r="BY57" s="71"/>
      <c r="BZ57" s="71"/>
    </row>
    <row r="58" spans="1:78">
      <c r="A58">
        <v>9</v>
      </c>
      <c r="AH58" s="6"/>
      <c r="AI58" s="33">
        <v>7.2291999999999996</v>
      </c>
      <c r="BO58" s="6"/>
      <c r="BP58">
        <v>0</v>
      </c>
      <c r="BR58" s="71"/>
      <c r="BS58" s="71"/>
      <c r="BT58" s="71"/>
      <c r="BU58" s="71"/>
      <c r="BV58" s="71"/>
      <c r="BW58" s="71"/>
      <c r="BX58" s="71"/>
      <c r="BY58" s="71"/>
      <c r="BZ58" s="71"/>
    </row>
    <row r="59" spans="1:78">
      <c r="A59">
        <v>9</v>
      </c>
      <c r="AH59" s="6"/>
      <c r="AI59" s="33">
        <v>7.2291999999999996</v>
      </c>
      <c r="BO59" s="6"/>
      <c r="BP59">
        <v>0</v>
      </c>
      <c r="BR59" s="72" t="s">
        <v>247</v>
      </c>
      <c r="BS59" s="71"/>
      <c r="BT59" s="71"/>
      <c r="BU59" s="71"/>
      <c r="BV59" s="71"/>
      <c r="BW59" s="71"/>
      <c r="BX59" s="71"/>
      <c r="BY59" s="71"/>
      <c r="BZ59" s="71"/>
    </row>
    <row r="60" spans="1:78" ht="16.5">
      <c r="A60">
        <v>9</v>
      </c>
      <c r="AH60" s="6"/>
      <c r="AI60" s="33">
        <v>7.2291999999999996</v>
      </c>
      <c r="BO60" s="6"/>
      <c r="BP60">
        <v>0</v>
      </c>
      <c r="BR60" s="71" t="s">
        <v>248</v>
      </c>
      <c r="BS60" s="83">
        <f>BS57/BS41</f>
        <v>2.1055657390679512</v>
      </c>
      <c r="BT60" s="59" t="s">
        <v>278</v>
      </c>
      <c r="BU60" s="71"/>
      <c r="BV60" s="71"/>
      <c r="BW60" s="71"/>
      <c r="BX60" s="71"/>
      <c r="BY60" s="71"/>
      <c r="BZ60" s="71"/>
    </row>
    <row r="61" spans="1:78">
      <c r="A61">
        <v>9</v>
      </c>
      <c r="AH61" s="6"/>
      <c r="AI61" s="33">
        <v>7.2291999999999996</v>
      </c>
      <c r="BO61" s="6"/>
      <c r="BP61">
        <v>0</v>
      </c>
      <c r="BR61" s="71"/>
      <c r="BS61" s="71"/>
      <c r="BT61" s="71"/>
      <c r="BU61" s="71"/>
      <c r="BV61" s="71"/>
      <c r="BW61" s="71"/>
      <c r="BX61" s="71"/>
      <c r="BY61" s="71"/>
      <c r="BZ61" s="71"/>
    </row>
    <row r="62" spans="1:78">
      <c r="A62">
        <v>9</v>
      </c>
      <c r="AH62" s="6"/>
      <c r="AI62" s="33">
        <v>7.2291999999999996</v>
      </c>
      <c r="BO62" s="6"/>
      <c r="BP62">
        <v>0</v>
      </c>
      <c r="BR62" s="74" t="s">
        <v>249</v>
      </c>
      <c r="BS62" s="71"/>
      <c r="BT62" s="71"/>
      <c r="BU62" s="71"/>
      <c r="BV62" s="71"/>
      <c r="BW62" s="71"/>
      <c r="BX62" s="71"/>
      <c r="BY62" s="71"/>
      <c r="BZ62" s="71"/>
    </row>
    <row r="63" spans="1:78">
      <c r="A63">
        <v>9</v>
      </c>
      <c r="AH63" s="6"/>
      <c r="AI63" s="33">
        <v>7.2291999999999996</v>
      </c>
      <c r="BO63" s="6"/>
      <c r="BP63">
        <v>0</v>
      </c>
      <c r="BR63" s="72" t="s">
        <v>250</v>
      </c>
      <c r="BS63" s="71"/>
      <c r="BT63" s="71"/>
      <c r="BU63" s="71"/>
      <c r="BV63" s="71"/>
      <c r="BW63" s="71"/>
      <c r="BX63" s="71"/>
      <c r="BY63" s="71"/>
      <c r="BZ63" s="71"/>
    </row>
    <row r="64" spans="1:78" ht="16.5">
      <c r="A64">
        <v>10</v>
      </c>
      <c r="AH64" s="6"/>
      <c r="AI64" s="33">
        <v>7.2291999999999996</v>
      </c>
      <c r="BO64" s="6"/>
      <c r="BP64">
        <v>0</v>
      </c>
      <c r="BR64" s="71" t="s">
        <v>251</v>
      </c>
      <c r="BS64" s="81">
        <f>SKEW(BP2:$BP$890)</f>
        <v>3.6910576308362337</v>
      </c>
      <c r="BT64" s="59" t="s">
        <v>279</v>
      </c>
      <c r="BU64" s="85"/>
      <c r="BV64" s="85"/>
      <c r="BW64" s="85"/>
      <c r="BX64" s="85"/>
      <c r="BY64" s="85"/>
      <c r="BZ64" s="71"/>
    </row>
    <row r="65" spans="1:78" ht="16.5">
      <c r="A65">
        <v>10</v>
      </c>
      <c r="AH65" s="6"/>
      <c r="AI65" s="33">
        <v>7.2291999999999996</v>
      </c>
      <c r="BO65" s="6"/>
      <c r="BP65">
        <v>0</v>
      </c>
      <c r="BR65" s="71"/>
      <c r="BS65" s="71"/>
      <c r="BT65" s="59"/>
      <c r="BU65" s="85"/>
      <c r="BV65" s="85"/>
      <c r="BW65" s="85"/>
      <c r="BX65" s="85"/>
      <c r="BY65" s="85"/>
      <c r="BZ65" s="71"/>
    </row>
    <row r="66" spans="1:78" ht="16.5">
      <c r="A66">
        <v>11</v>
      </c>
      <c r="AH66" s="6"/>
      <c r="AI66" s="33">
        <v>7.2291999999999996</v>
      </c>
      <c r="BO66" s="6"/>
      <c r="BP66">
        <v>0</v>
      </c>
      <c r="BR66" s="72" t="s">
        <v>252</v>
      </c>
      <c r="BS66" s="71"/>
      <c r="BT66" s="59"/>
      <c r="BU66" s="71"/>
      <c r="BV66" s="71"/>
      <c r="BW66" s="71"/>
      <c r="BX66" s="71"/>
      <c r="BY66" s="71"/>
      <c r="BZ66" s="71"/>
    </row>
    <row r="67" spans="1:78" ht="16.5">
      <c r="A67">
        <v>11</v>
      </c>
      <c r="AH67" s="6"/>
      <c r="AI67" s="33">
        <v>7.2291999999999996</v>
      </c>
      <c r="BO67" s="6"/>
      <c r="BP67">
        <v>0</v>
      </c>
      <c r="BR67" s="71" t="s">
        <v>253</v>
      </c>
      <c r="BS67" s="81">
        <f>KURT(BP2:$BP$890)</f>
        <v>17.838972378994821</v>
      </c>
      <c r="BT67" s="59" t="s">
        <v>280</v>
      </c>
      <c r="BU67" s="85"/>
      <c r="BV67" s="85"/>
      <c r="BW67" s="85"/>
      <c r="BX67" s="85"/>
      <c r="BY67" s="85"/>
      <c r="BZ67" s="85"/>
    </row>
    <row r="68" spans="1:78">
      <c r="A68">
        <v>11</v>
      </c>
      <c r="C68" s="1" t="s">
        <v>24</v>
      </c>
      <c r="M68" s="1" t="s">
        <v>24</v>
      </c>
      <c r="AH68" s="6"/>
      <c r="AI68" s="33">
        <v>7.2291999999999996</v>
      </c>
      <c r="AK68" s="1" t="s">
        <v>24</v>
      </c>
      <c r="AU68" s="1" t="s">
        <v>24</v>
      </c>
      <c r="BO68" s="6"/>
      <c r="BP68">
        <v>0</v>
      </c>
    </row>
    <row r="69" spans="1:78">
      <c r="A69">
        <v>11</v>
      </c>
      <c r="AH69" s="6"/>
      <c r="AI69" s="33">
        <v>7.2291999999999996</v>
      </c>
      <c r="BO69" s="6"/>
      <c r="BP69">
        <v>0</v>
      </c>
    </row>
    <row r="70" spans="1:78">
      <c r="A70">
        <v>12</v>
      </c>
      <c r="AH70" s="6"/>
      <c r="AI70" s="33">
        <v>7.2291999999999996</v>
      </c>
      <c r="BO70" s="6"/>
      <c r="BP70">
        <v>0</v>
      </c>
    </row>
    <row r="71" spans="1:78">
      <c r="A71">
        <v>13</v>
      </c>
      <c r="C71" s="73" t="s">
        <v>230</v>
      </c>
      <c r="D71" s="71"/>
      <c r="E71" s="71"/>
      <c r="F71" s="71"/>
      <c r="G71" s="71"/>
      <c r="H71" s="71"/>
      <c r="I71" s="71"/>
      <c r="J71" s="71"/>
      <c r="K71" s="71"/>
      <c r="L71" s="73" t="s">
        <v>231</v>
      </c>
      <c r="M71" s="71"/>
      <c r="N71" s="71"/>
      <c r="O71" s="71"/>
      <c r="P71" s="69"/>
      <c r="Q71" s="69"/>
      <c r="AH71" s="6"/>
      <c r="AI71" s="33">
        <v>7.2291999999999996</v>
      </c>
      <c r="AK71" s="73" t="s">
        <v>230</v>
      </c>
      <c r="AL71" s="71"/>
      <c r="AM71" s="71"/>
      <c r="AN71" s="71"/>
      <c r="AO71" s="71"/>
      <c r="AP71" s="71"/>
      <c r="AQ71" s="71"/>
      <c r="AR71" s="71"/>
      <c r="AS71" s="71"/>
      <c r="AT71" s="73" t="s">
        <v>231</v>
      </c>
      <c r="AU71" s="71"/>
      <c r="AV71" s="71"/>
      <c r="AW71" s="71"/>
      <c r="AX71" s="71"/>
      <c r="AY71" s="71"/>
      <c r="AZ71" s="71"/>
      <c r="BO71" s="6"/>
      <c r="BP71">
        <v>0</v>
      </c>
    </row>
    <row r="72" spans="1:78">
      <c r="A72">
        <v>13</v>
      </c>
      <c r="C72" s="74" t="s">
        <v>232</v>
      </c>
      <c r="D72" s="71"/>
      <c r="E72" s="71"/>
      <c r="F72" s="71"/>
      <c r="G72" s="71"/>
      <c r="H72" s="71"/>
      <c r="I72" s="71"/>
      <c r="J72" s="71"/>
      <c r="K72" s="71"/>
      <c r="L72" s="74" t="s">
        <v>232</v>
      </c>
      <c r="M72" s="71"/>
      <c r="N72" s="71"/>
      <c r="O72" s="71"/>
      <c r="P72" s="69"/>
      <c r="Q72" s="69"/>
      <c r="AH72" s="6"/>
      <c r="AI72" s="33">
        <v>7.25</v>
      </c>
      <c r="AK72" s="74" t="s">
        <v>232</v>
      </c>
      <c r="AL72" s="71"/>
      <c r="AM72" s="71"/>
      <c r="AN72" s="71"/>
      <c r="AO72" s="71"/>
      <c r="AP72" s="71"/>
      <c r="AQ72" s="71"/>
      <c r="AR72" s="71"/>
      <c r="AS72" s="71"/>
      <c r="AT72" s="74" t="s">
        <v>232</v>
      </c>
      <c r="AU72" s="71"/>
      <c r="AV72" s="71"/>
      <c r="AW72" s="71"/>
      <c r="AX72" s="71"/>
      <c r="AY72" s="71"/>
      <c r="AZ72" s="71"/>
      <c r="BO72" s="6"/>
      <c r="BP72">
        <v>0</v>
      </c>
    </row>
    <row r="73" spans="1:78">
      <c r="A73">
        <v>14</v>
      </c>
      <c r="C73" s="72" t="s">
        <v>233</v>
      </c>
      <c r="D73" s="71"/>
      <c r="E73" s="71"/>
      <c r="F73" s="71"/>
      <c r="G73" s="71"/>
      <c r="H73" s="71"/>
      <c r="I73" s="71"/>
      <c r="J73" s="71"/>
      <c r="K73" s="71"/>
      <c r="L73" s="72" t="s">
        <v>233</v>
      </c>
      <c r="M73" s="71"/>
      <c r="N73" s="71"/>
      <c r="O73" s="71"/>
      <c r="P73" s="69"/>
      <c r="Q73" s="69"/>
      <c r="AH73" s="6"/>
      <c r="AI73" s="33">
        <v>7.25</v>
      </c>
      <c r="AK73" s="72" t="s">
        <v>233</v>
      </c>
      <c r="AL73" s="71"/>
      <c r="AM73" s="71"/>
      <c r="AN73" s="71"/>
      <c r="AO73" s="71"/>
      <c r="AP73" s="71"/>
      <c r="AQ73" s="71"/>
      <c r="AR73" s="71"/>
      <c r="AS73" s="71"/>
      <c r="AT73" s="72" t="s">
        <v>233</v>
      </c>
      <c r="AU73" s="71"/>
      <c r="AV73" s="71"/>
      <c r="AW73" s="71"/>
      <c r="AX73" s="71"/>
      <c r="AY73" s="71"/>
      <c r="AZ73" s="71"/>
      <c r="BO73" s="6"/>
      <c r="BP73">
        <v>0</v>
      </c>
    </row>
    <row r="74" spans="1:78" ht="16.5">
      <c r="A74">
        <v>14</v>
      </c>
      <c r="C74" s="75" t="s">
        <v>234</v>
      </c>
      <c r="D74" s="81">
        <f>AVERAGE('Datos Limpios'!$D$2:$D$890)</f>
        <v>29.653622047244184</v>
      </c>
      <c r="E74" s="59" t="s">
        <v>254</v>
      </c>
      <c r="F74" s="71"/>
      <c r="G74" s="71"/>
      <c r="H74" s="71"/>
      <c r="I74" s="71"/>
      <c r="J74" s="71"/>
      <c r="K74" s="71"/>
      <c r="L74" s="75" t="s">
        <v>234</v>
      </c>
      <c r="M74" s="76"/>
      <c r="N74" s="71"/>
      <c r="O74" s="71"/>
      <c r="P74" s="69"/>
      <c r="Q74" s="69"/>
      <c r="AH74" s="6"/>
      <c r="AI74" s="33">
        <v>7.25</v>
      </c>
      <c r="AK74" s="75" t="s">
        <v>234</v>
      </c>
      <c r="AL74" s="81">
        <f>AVERAGE($AI$2:$AI$890)</f>
        <v>32.096680877390341</v>
      </c>
      <c r="AM74" s="59" t="s">
        <v>263</v>
      </c>
      <c r="AN74" s="71"/>
      <c r="AO74" s="71"/>
      <c r="AP74" s="71"/>
      <c r="AQ74" s="71"/>
      <c r="AR74" s="71"/>
      <c r="AS74" s="71"/>
      <c r="AT74" s="75" t="s">
        <v>234</v>
      </c>
      <c r="AU74" s="76"/>
      <c r="AV74" s="71"/>
      <c r="AW74" s="71"/>
      <c r="AX74" s="71"/>
      <c r="AY74" s="71"/>
      <c r="AZ74" s="71"/>
      <c r="BO74" s="6"/>
      <c r="BP74">
        <v>0</v>
      </c>
    </row>
    <row r="75" spans="1:78">
      <c r="A75">
        <v>14</v>
      </c>
      <c r="C75" s="71"/>
      <c r="D75" s="33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69"/>
      <c r="Q75" s="69"/>
      <c r="AH75" s="6"/>
      <c r="AI75" s="33">
        <v>7.25</v>
      </c>
      <c r="AK75" s="71"/>
      <c r="AL75" s="33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O75" s="6"/>
      <c r="BP75">
        <v>0</v>
      </c>
    </row>
    <row r="76" spans="1:78">
      <c r="A76">
        <v>14</v>
      </c>
      <c r="C76" s="72" t="s">
        <v>227</v>
      </c>
      <c r="D76" s="33"/>
      <c r="E76" s="71"/>
      <c r="F76" s="71"/>
      <c r="G76" s="71"/>
      <c r="H76" s="71"/>
      <c r="I76" s="71"/>
      <c r="J76" s="71"/>
      <c r="K76" s="71"/>
      <c r="L76" s="72" t="s">
        <v>227</v>
      </c>
      <c r="M76" s="71"/>
      <c r="N76" s="71"/>
      <c r="O76" s="71"/>
      <c r="P76" s="69"/>
      <c r="Q76" s="69"/>
      <c r="AH76" s="6"/>
      <c r="AI76" s="33">
        <v>7.25</v>
      </c>
      <c r="AK76" s="72" t="s">
        <v>227</v>
      </c>
      <c r="AL76" s="33"/>
      <c r="AM76" s="71"/>
      <c r="AN76" s="71"/>
      <c r="AO76" s="71"/>
      <c r="AP76" s="71"/>
      <c r="AQ76" s="71"/>
      <c r="AR76" s="71"/>
      <c r="AS76" s="71"/>
      <c r="AT76" s="72" t="s">
        <v>227</v>
      </c>
      <c r="AU76" s="71"/>
      <c r="AV76" s="71"/>
      <c r="AW76" s="71"/>
      <c r="AX76" s="71"/>
      <c r="AY76" s="71"/>
      <c r="AZ76" s="71"/>
      <c r="BO76" s="6"/>
      <c r="BP76">
        <v>0</v>
      </c>
    </row>
    <row r="77" spans="1:78" ht="18">
      <c r="A77">
        <v>14</v>
      </c>
      <c r="C77" s="71" t="s">
        <v>235</v>
      </c>
      <c r="D77" s="81">
        <f>MEDIAN('Datos Limpios'!$D$2:$D$890)</f>
        <v>29.7</v>
      </c>
      <c r="E77" s="59" t="s">
        <v>255</v>
      </c>
      <c r="F77" s="85"/>
      <c r="G77" s="85"/>
      <c r="H77" s="85"/>
      <c r="I77" s="85"/>
      <c r="J77" s="85"/>
      <c r="K77" s="85"/>
      <c r="L77" s="71" t="s">
        <v>236</v>
      </c>
      <c r="M77" s="78"/>
      <c r="N77" s="82" t="s">
        <v>27</v>
      </c>
      <c r="O77" s="71"/>
      <c r="P77" s="69"/>
      <c r="Q77" s="69"/>
      <c r="AH77" s="6"/>
      <c r="AI77" s="33">
        <v>7.25</v>
      </c>
      <c r="AK77" s="71" t="s">
        <v>235</v>
      </c>
      <c r="AL77" s="81">
        <f>MEDIAN($AI$2:$AI$890)</f>
        <v>14.4542</v>
      </c>
      <c r="AM77" s="59" t="s">
        <v>264</v>
      </c>
      <c r="AN77" s="85"/>
      <c r="AO77" s="85"/>
      <c r="AP77" s="85"/>
      <c r="AQ77" s="85"/>
      <c r="AR77" s="85"/>
      <c r="AS77" s="85"/>
      <c r="AT77" s="71" t="s">
        <v>236</v>
      </c>
      <c r="AU77" s="78"/>
      <c r="AV77" s="82" t="s">
        <v>27</v>
      </c>
      <c r="AW77" s="71"/>
      <c r="AX77" s="71"/>
      <c r="AY77" s="71"/>
      <c r="AZ77" s="71"/>
      <c r="BO77" s="6"/>
      <c r="BP77">
        <v>0</v>
      </c>
    </row>
    <row r="78" spans="1:78" ht="18">
      <c r="A78">
        <v>14</v>
      </c>
      <c r="C78" s="71"/>
      <c r="D78" s="33"/>
      <c r="E78" s="85"/>
      <c r="F78" s="85"/>
      <c r="G78" s="85"/>
      <c r="H78" s="85"/>
      <c r="I78" s="85"/>
      <c r="J78" s="85"/>
      <c r="K78" s="85"/>
      <c r="L78" s="71" t="s">
        <v>237</v>
      </c>
      <c r="M78" s="76"/>
      <c r="N78" s="71"/>
      <c r="O78" s="71"/>
      <c r="P78" s="69"/>
      <c r="Q78" s="69"/>
      <c r="AH78" s="6"/>
      <c r="AI78" s="33">
        <v>7.25</v>
      </c>
      <c r="AK78" s="71"/>
      <c r="AL78" s="33"/>
      <c r="AM78" s="85"/>
      <c r="AN78" s="85"/>
      <c r="AO78" s="85"/>
      <c r="AP78" s="85"/>
      <c r="AQ78" s="85"/>
      <c r="AR78" s="85"/>
      <c r="AS78" s="85"/>
      <c r="AT78" s="71" t="s">
        <v>237</v>
      </c>
      <c r="AU78" s="76"/>
      <c r="AV78" s="71"/>
      <c r="AW78" s="71"/>
      <c r="AX78" s="71"/>
      <c r="AY78" s="71"/>
      <c r="AZ78" s="71"/>
      <c r="BO78" s="6"/>
      <c r="BP78">
        <v>0</v>
      </c>
    </row>
    <row r="79" spans="1:78">
      <c r="A79">
        <v>14.5</v>
      </c>
      <c r="C79" s="72" t="s">
        <v>228</v>
      </c>
      <c r="D79" s="33"/>
      <c r="E79" s="71"/>
      <c r="F79" s="71"/>
      <c r="G79" s="71"/>
      <c r="H79" s="71"/>
      <c r="I79" s="71"/>
      <c r="J79" s="71"/>
      <c r="K79" s="71"/>
      <c r="L79" s="72" t="s">
        <v>228</v>
      </c>
      <c r="M79" s="71"/>
      <c r="N79" s="71"/>
      <c r="O79" s="71"/>
      <c r="P79" s="69"/>
      <c r="Q79" s="69"/>
      <c r="AH79" s="6"/>
      <c r="AI79" s="33">
        <v>7.25</v>
      </c>
      <c r="AK79" s="72" t="s">
        <v>228</v>
      </c>
      <c r="AL79" s="33"/>
      <c r="AM79" s="71"/>
      <c r="AN79" s="71"/>
      <c r="AO79" s="71"/>
      <c r="AP79" s="71"/>
      <c r="AQ79" s="71"/>
      <c r="AR79" s="71"/>
      <c r="AS79" s="71"/>
      <c r="AT79" s="72" t="s">
        <v>228</v>
      </c>
      <c r="AU79" s="71"/>
      <c r="AV79" s="71"/>
      <c r="AW79" s="71"/>
      <c r="AX79" s="71"/>
      <c r="AY79" s="71"/>
      <c r="AZ79" s="71"/>
      <c r="BO79" s="6"/>
      <c r="BP79">
        <v>0</v>
      </c>
    </row>
    <row r="80" spans="1:78" ht="16.5">
      <c r="A80">
        <v>15</v>
      </c>
      <c r="C80" s="71" t="s">
        <v>238</v>
      </c>
      <c r="D80" s="81">
        <f>_xlfn.MODE.SNGL('Datos Limpios'!$D$2:$D$890)</f>
        <v>29.7</v>
      </c>
      <c r="E80" s="59" t="s">
        <v>256</v>
      </c>
      <c r="F80" s="71"/>
      <c r="G80" s="71"/>
      <c r="H80" s="71"/>
      <c r="I80" s="71"/>
      <c r="J80" s="71"/>
      <c r="K80" s="71"/>
      <c r="L80" s="71" t="s">
        <v>238</v>
      </c>
      <c r="M80" s="76"/>
      <c r="N80" s="71"/>
      <c r="O80" s="71"/>
      <c r="P80" s="69"/>
      <c r="Q80" s="69"/>
      <c r="AH80" s="6"/>
      <c r="AI80" s="33">
        <v>7.25</v>
      </c>
      <c r="AK80" s="71" t="s">
        <v>238</v>
      </c>
      <c r="AL80" s="81">
        <f>_xlfn.MODE.SNGL($AI$2:$AI$890)</f>
        <v>8.0500000000000007</v>
      </c>
      <c r="AM80" s="59" t="s">
        <v>265</v>
      </c>
      <c r="AN80" s="71"/>
      <c r="AO80" s="71"/>
      <c r="AP80" s="71"/>
      <c r="AQ80" s="71"/>
      <c r="AR80" s="71"/>
      <c r="AS80" s="71"/>
      <c r="AT80" s="71" t="s">
        <v>238</v>
      </c>
      <c r="AU80" s="76"/>
      <c r="AV80" s="71"/>
      <c r="AW80" s="71"/>
      <c r="AX80" s="71"/>
      <c r="AY80" s="71"/>
      <c r="AZ80" s="71"/>
      <c r="BO80" s="6"/>
      <c r="BP80">
        <v>0</v>
      </c>
    </row>
    <row r="81" spans="1:68">
      <c r="A81">
        <v>15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69"/>
      <c r="Q81" s="69"/>
      <c r="AH81" s="6"/>
      <c r="AI81" s="33">
        <v>7.25</v>
      </c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O81" s="6"/>
      <c r="BP81">
        <v>0</v>
      </c>
    </row>
    <row r="82" spans="1:68">
      <c r="A82">
        <v>15</v>
      </c>
      <c r="C82" s="74" t="s">
        <v>239</v>
      </c>
      <c r="D82" s="71"/>
      <c r="E82" s="71"/>
      <c r="F82" s="71"/>
      <c r="G82" s="71"/>
      <c r="H82" s="71"/>
      <c r="I82" s="71"/>
      <c r="J82" s="71"/>
      <c r="K82" s="71"/>
      <c r="L82" s="74" t="s">
        <v>239</v>
      </c>
      <c r="M82" s="71"/>
      <c r="N82" s="71"/>
      <c r="O82" s="71"/>
      <c r="P82" s="69"/>
      <c r="Q82" s="69"/>
      <c r="AH82" s="6"/>
      <c r="AI82" s="33">
        <v>7.25</v>
      </c>
      <c r="AK82" s="74" t="s">
        <v>239</v>
      </c>
      <c r="AL82" s="71"/>
      <c r="AM82" s="71"/>
      <c r="AN82" s="71"/>
      <c r="AO82" s="71"/>
      <c r="AP82" s="71"/>
      <c r="AQ82" s="71"/>
      <c r="AR82" s="71"/>
      <c r="AS82" s="71"/>
      <c r="AT82" s="74" t="s">
        <v>239</v>
      </c>
      <c r="AU82" s="71"/>
      <c r="AV82" s="71"/>
      <c r="AW82" s="71"/>
      <c r="AX82" s="71"/>
      <c r="AY82" s="71"/>
      <c r="AZ82" s="71"/>
      <c r="BO82" s="6"/>
      <c r="BP82">
        <v>0</v>
      </c>
    </row>
    <row r="83" spans="1:68">
      <c r="A83">
        <v>15</v>
      </c>
      <c r="C83" s="72" t="s">
        <v>240</v>
      </c>
      <c r="D83" s="71"/>
      <c r="E83" s="71"/>
      <c r="F83" s="71"/>
      <c r="G83" s="71"/>
      <c r="H83" s="71"/>
      <c r="I83" s="71"/>
      <c r="J83" s="71"/>
      <c r="K83" s="71"/>
      <c r="L83" s="72" t="s">
        <v>240</v>
      </c>
      <c r="M83" s="71"/>
      <c r="N83" s="71"/>
      <c r="O83" s="71"/>
      <c r="P83" s="69"/>
      <c r="Q83" s="69"/>
      <c r="AH83" s="6"/>
      <c r="AI83" s="33">
        <v>7.25</v>
      </c>
      <c r="AK83" s="72" t="s">
        <v>240</v>
      </c>
      <c r="AL83" s="71"/>
      <c r="AM83" s="71"/>
      <c r="AN83" s="71"/>
      <c r="AO83" s="71"/>
      <c r="AP83" s="71"/>
      <c r="AQ83" s="71"/>
      <c r="AR83" s="71"/>
      <c r="AS83" s="71"/>
      <c r="AT83" s="72" t="s">
        <v>240</v>
      </c>
      <c r="AU83" s="71"/>
      <c r="AV83" s="71"/>
      <c r="AW83" s="71"/>
      <c r="AX83" s="71"/>
      <c r="AY83" s="71"/>
      <c r="AZ83" s="71"/>
      <c r="BO83" s="6"/>
      <c r="BP83">
        <v>0</v>
      </c>
    </row>
    <row r="84" spans="1:68" ht="16.5">
      <c r="A84">
        <v>15</v>
      </c>
      <c r="C84" s="71" t="s">
        <v>241</v>
      </c>
      <c r="D84" s="76">
        <f>AVEDEV('Datos Limpios'!$D$2:$D$890)</f>
        <v>9.0547151094301643</v>
      </c>
      <c r="E84" s="59" t="s">
        <v>257</v>
      </c>
      <c r="F84" s="71"/>
      <c r="G84" s="71"/>
      <c r="H84" s="71"/>
      <c r="I84" s="71"/>
      <c r="J84" s="71"/>
      <c r="K84" s="71"/>
      <c r="L84" s="71" t="s">
        <v>241</v>
      </c>
      <c r="M84" s="76"/>
      <c r="N84" s="71"/>
      <c r="O84" s="71"/>
      <c r="P84" s="69"/>
      <c r="Q84" s="69"/>
      <c r="AH84" s="6"/>
      <c r="AI84" s="33">
        <v>7.25</v>
      </c>
      <c r="AK84" s="71" t="s">
        <v>241</v>
      </c>
      <c r="AL84" s="76">
        <f>AVEDEV($AI$2:$AI$890)</f>
        <v>28.062556347863683</v>
      </c>
      <c r="AM84" s="59" t="s">
        <v>266</v>
      </c>
      <c r="AN84" s="71"/>
      <c r="AO84" s="71"/>
      <c r="AP84" s="71"/>
      <c r="AQ84" s="71"/>
      <c r="AR84" s="71"/>
      <c r="AS84" s="71"/>
      <c r="AT84" s="71" t="s">
        <v>241</v>
      </c>
      <c r="AU84" s="76"/>
      <c r="AV84" s="71"/>
      <c r="AW84" s="71"/>
      <c r="AX84" s="71"/>
      <c r="AY84" s="71"/>
      <c r="AZ84" s="71"/>
      <c r="BO84" s="6"/>
      <c r="BP84">
        <v>0</v>
      </c>
    </row>
    <row r="85" spans="1:68">
      <c r="A85">
        <v>16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69"/>
      <c r="Q85" s="69"/>
      <c r="AH85" s="6"/>
      <c r="AI85" s="33">
        <v>7.3125</v>
      </c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O85" s="6"/>
      <c r="BP85">
        <v>0</v>
      </c>
    </row>
    <row r="86" spans="1:68">
      <c r="A86">
        <v>16</v>
      </c>
      <c r="C86" s="72" t="s">
        <v>229</v>
      </c>
      <c r="D86" s="71"/>
      <c r="E86" s="71"/>
      <c r="F86" s="71"/>
      <c r="G86" s="71"/>
      <c r="H86" s="71"/>
      <c r="I86" s="71"/>
      <c r="J86" s="71"/>
      <c r="K86" s="71"/>
      <c r="L86" s="72" t="s">
        <v>229</v>
      </c>
      <c r="M86" s="71"/>
      <c r="N86" s="71"/>
      <c r="O86" s="71"/>
      <c r="P86" s="69"/>
      <c r="Q86" s="69"/>
      <c r="AH86" s="6"/>
      <c r="AI86" s="33">
        <v>7.4958</v>
      </c>
      <c r="AK86" s="72" t="s">
        <v>229</v>
      </c>
      <c r="AL86" s="71"/>
      <c r="AM86" s="71"/>
      <c r="AN86" s="71"/>
      <c r="AO86" s="71"/>
      <c r="AP86" s="71"/>
      <c r="AQ86" s="71"/>
      <c r="AR86" s="71"/>
      <c r="AS86" s="71"/>
      <c r="AT86" s="72" t="s">
        <v>229</v>
      </c>
      <c r="AU86" s="71"/>
      <c r="AV86" s="71"/>
      <c r="AW86" s="71"/>
      <c r="AX86" s="71"/>
      <c r="AY86" s="71"/>
      <c r="AZ86" s="71"/>
      <c r="BO86" s="6"/>
      <c r="BP86">
        <v>0</v>
      </c>
    </row>
    <row r="87" spans="1:68" ht="17.25">
      <c r="A87">
        <v>16</v>
      </c>
      <c r="C87" s="71" t="s">
        <v>242</v>
      </c>
      <c r="D87" s="76">
        <f>_xlfn.VAR.S('Datos Limpios'!$D$2:$D$890)</f>
        <v>168.17854092004714</v>
      </c>
      <c r="E87" s="71"/>
      <c r="F87" s="71"/>
      <c r="G87" s="71"/>
      <c r="H87" s="71"/>
      <c r="I87" s="71"/>
      <c r="J87" s="71"/>
      <c r="K87" s="71"/>
      <c r="L87" s="71" t="s">
        <v>242</v>
      </c>
      <c r="M87" s="76"/>
      <c r="N87" s="71"/>
      <c r="O87" s="71"/>
      <c r="P87" s="69"/>
      <c r="Q87" s="69"/>
      <c r="AH87" s="6"/>
      <c r="AI87" s="33">
        <v>7.4958</v>
      </c>
      <c r="AK87" s="71" t="s">
        <v>242</v>
      </c>
      <c r="AL87" s="76">
        <f>_xlfn.VAR.S($AI$2:$AI$890)</f>
        <v>2469.8419353092054</v>
      </c>
      <c r="AM87" s="71"/>
      <c r="AN87" s="71"/>
      <c r="AO87" s="71"/>
      <c r="AP87" s="71"/>
      <c r="AQ87" s="71"/>
      <c r="AR87" s="71"/>
      <c r="AS87" s="71"/>
      <c r="AT87" s="71" t="s">
        <v>242</v>
      </c>
      <c r="AU87" s="76"/>
      <c r="AV87" s="71"/>
      <c r="AW87" s="71"/>
      <c r="AX87" s="71"/>
      <c r="AY87" s="71"/>
      <c r="AZ87" s="71"/>
      <c r="BO87" s="6"/>
      <c r="BP87">
        <v>0</v>
      </c>
    </row>
    <row r="88" spans="1:68">
      <c r="A88">
        <v>16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69"/>
      <c r="Q88" s="69"/>
      <c r="AH88" s="6"/>
      <c r="AI88" s="33">
        <v>7.4958</v>
      </c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O88" s="6"/>
      <c r="BP88">
        <v>0</v>
      </c>
    </row>
    <row r="89" spans="1:68">
      <c r="A89">
        <v>16</v>
      </c>
      <c r="C89" s="72" t="s">
        <v>243</v>
      </c>
      <c r="D89" s="71"/>
      <c r="E89" s="71"/>
      <c r="F89" s="71"/>
      <c r="G89" s="71"/>
      <c r="H89" s="71"/>
      <c r="I89" s="71"/>
      <c r="J89" s="71"/>
      <c r="K89" s="71"/>
      <c r="L89" s="72" t="s">
        <v>243</v>
      </c>
      <c r="M89" s="71"/>
      <c r="N89" s="71"/>
      <c r="O89" s="71"/>
      <c r="P89" s="69"/>
      <c r="Q89" s="69"/>
      <c r="AH89" s="6"/>
      <c r="AI89" s="33">
        <v>7.5208000000000004</v>
      </c>
      <c r="AK89" s="72" t="s">
        <v>243</v>
      </c>
      <c r="AL89" s="71"/>
      <c r="AM89" s="71"/>
      <c r="AN89" s="71"/>
      <c r="AO89" s="71"/>
      <c r="AP89" s="71"/>
      <c r="AQ89" s="71"/>
      <c r="AR89" s="71"/>
      <c r="AS89" s="71"/>
      <c r="AT89" s="72" t="s">
        <v>243</v>
      </c>
      <c r="AU89" s="71"/>
      <c r="AV89" s="71"/>
      <c r="AW89" s="71"/>
      <c r="AX89" s="71"/>
      <c r="AY89" s="71"/>
      <c r="AZ89" s="71"/>
      <c r="BO89" s="6"/>
      <c r="BP89">
        <v>0</v>
      </c>
    </row>
    <row r="90" spans="1:68" ht="16.5">
      <c r="A90">
        <v>16</v>
      </c>
      <c r="C90" s="71" t="s">
        <v>244</v>
      </c>
      <c r="D90" s="76">
        <f>_xlfn.STDEV.S('Datos Limpios'!$D$2:$D$890)</f>
        <v>12.96836693342871</v>
      </c>
      <c r="E90" s="59" t="s">
        <v>258</v>
      </c>
      <c r="F90" s="71"/>
      <c r="G90" s="71"/>
      <c r="H90" s="71"/>
      <c r="I90" s="71"/>
      <c r="J90" s="71"/>
      <c r="K90" s="71"/>
      <c r="L90" s="71"/>
      <c r="M90" s="71" t="s">
        <v>245</v>
      </c>
      <c r="N90" s="77" t="s">
        <v>246</v>
      </c>
      <c r="O90" s="77"/>
      <c r="P90" s="69"/>
      <c r="Q90" s="69"/>
      <c r="AH90" s="6"/>
      <c r="AI90" s="33">
        <v>7.55</v>
      </c>
      <c r="AK90" s="71" t="s">
        <v>244</v>
      </c>
      <c r="AL90" s="76">
        <f>_xlfn.STDEV.S($AI$2:$AI$890)</f>
        <v>49.697504316707949</v>
      </c>
      <c r="AM90" s="59" t="s">
        <v>267</v>
      </c>
      <c r="AN90" s="71"/>
      <c r="AO90" s="71"/>
      <c r="AP90" s="71"/>
      <c r="AQ90" s="71"/>
      <c r="AR90" s="71"/>
      <c r="AS90" s="71"/>
      <c r="AT90" s="71"/>
      <c r="AU90" s="71" t="s">
        <v>245</v>
      </c>
      <c r="AV90" s="77" t="s">
        <v>246</v>
      </c>
      <c r="AW90" s="77"/>
      <c r="AX90" s="71"/>
      <c r="AY90" s="71"/>
      <c r="AZ90" s="71"/>
      <c r="BO90" s="6"/>
      <c r="BP90">
        <v>0</v>
      </c>
    </row>
    <row r="91" spans="1:68">
      <c r="A91">
        <v>16</v>
      </c>
      <c r="C91" s="71"/>
      <c r="D91" s="71"/>
      <c r="E91" s="71"/>
      <c r="F91" s="71"/>
      <c r="G91" s="71"/>
      <c r="H91" s="71"/>
      <c r="I91" s="71"/>
      <c r="J91" s="71"/>
      <c r="K91" s="71"/>
      <c r="L91" s="71" t="s">
        <v>244</v>
      </c>
      <c r="M91" s="76"/>
      <c r="N91" s="76"/>
      <c r="O91" s="76"/>
      <c r="P91" s="69"/>
      <c r="Q91" s="69"/>
      <c r="AH91" s="6"/>
      <c r="AI91" s="33">
        <v>7.55</v>
      </c>
      <c r="AK91" s="71"/>
      <c r="AL91" s="71"/>
      <c r="AM91" s="71"/>
      <c r="AN91" s="71"/>
      <c r="AO91" s="71"/>
      <c r="AP91" s="71"/>
      <c r="AQ91" s="71"/>
      <c r="AR91" s="71"/>
      <c r="AS91" s="71"/>
      <c r="AT91" s="71" t="s">
        <v>244</v>
      </c>
      <c r="AU91" s="76"/>
      <c r="AV91" s="76"/>
      <c r="AW91" s="76"/>
      <c r="AX91" s="71"/>
      <c r="AY91" s="71"/>
      <c r="AZ91" s="71"/>
      <c r="BO91" s="6"/>
      <c r="BP91">
        <v>0</v>
      </c>
    </row>
    <row r="92" spans="1:68">
      <c r="A92">
        <v>16</v>
      </c>
      <c r="C92" s="72" t="s">
        <v>247</v>
      </c>
      <c r="D92" s="71"/>
      <c r="E92" s="71"/>
      <c r="F92" s="71"/>
      <c r="G92" s="71"/>
      <c r="H92" s="71"/>
      <c r="I92" s="71"/>
      <c r="J92" s="71"/>
      <c r="K92" s="71"/>
      <c r="L92" s="72" t="s">
        <v>247</v>
      </c>
      <c r="M92" s="71"/>
      <c r="N92" s="71"/>
      <c r="O92" s="71"/>
      <c r="P92" s="69"/>
      <c r="Q92" s="69"/>
      <c r="AH92" s="6"/>
      <c r="AI92" s="33">
        <v>7.55</v>
      </c>
      <c r="AK92" s="72" t="s">
        <v>247</v>
      </c>
      <c r="AL92" s="71"/>
      <c r="AM92" s="71"/>
      <c r="AN92" s="71"/>
      <c r="AO92" s="71"/>
      <c r="AP92" s="71"/>
      <c r="AQ92" s="71"/>
      <c r="AR92" s="71"/>
      <c r="AS92" s="71"/>
      <c r="AT92" s="72" t="s">
        <v>247</v>
      </c>
      <c r="AU92" s="71"/>
      <c r="AV92" s="71"/>
      <c r="AW92" s="71"/>
      <c r="AX92" s="71"/>
      <c r="AY92" s="71"/>
      <c r="AZ92" s="71"/>
      <c r="BO92" s="6"/>
      <c r="BP92">
        <v>0</v>
      </c>
    </row>
    <row r="93" spans="1:68" ht="16.5">
      <c r="A93">
        <v>16</v>
      </c>
      <c r="C93" s="71" t="s">
        <v>248</v>
      </c>
      <c r="D93" s="83">
        <f>D90/D74</f>
        <v>0.43732826002730774</v>
      </c>
      <c r="E93" s="59" t="s">
        <v>259</v>
      </c>
      <c r="F93" s="71"/>
      <c r="G93" s="71"/>
      <c r="H93" s="71"/>
      <c r="I93" s="71"/>
      <c r="J93" s="71"/>
      <c r="K93" s="71"/>
      <c r="L93" s="71" t="s">
        <v>248</v>
      </c>
      <c r="M93" s="79"/>
      <c r="N93" s="71"/>
      <c r="O93" s="71"/>
      <c r="P93" s="69"/>
      <c r="Q93" s="69"/>
      <c r="AH93" s="6"/>
      <c r="AI93" s="33">
        <v>7.55</v>
      </c>
      <c r="AK93" s="71" t="s">
        <v>248</v>
      </c>
      <c r="AL93" s="83">
        <f>AL90/AL74</f>
        <v>1.5483689577297086</v>
      </c>
      <c r="AM93" s="59" t="s">
        <v>268</v>
      </c>
      <c r="AN93" s="71"/>
      <c r="AO93" s="71"/>
      <c r="AP93" s="71"/>
      <c r="AQ93" s="71"/>
      <c r="AR93" s="71"/>
      <c r="AS93" s="71"/>
      <c r="AT93" s="71" t="s">
        <v>248</v>
      </c>
      <c r="AU93" s="79"/>
      <c r="AV93" s="71"/>
      <c r="AW93" s="71"/>
      <c r="AX93" s="71"/>
      <c r="AY93" s="71"/>
      <c r="AZ93" s="71"/>
      <c r="BO93" s="6"/>
      <c r="BP93">
        <v>0</v>
      </c>
    </row>
    <row r="94" spans="1:68">
      <c r="A94">
        <v>16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69"/>
      <c r="Q94" s="69"/>
      <c r="AH94" s="6"/>
      <c r="AI94" s="33">
        <v>7.6292</v>
      </c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O94" s="6"/>
      <c r="BP94">
        <v>0</v>
      </c>
    </row>
    <row r="95" spans="1:68">
      <c r="A95">
        <v>16</v>
      </c>
      <c r="C95" s="74" t="s">
        <v>249</v>
      </c>
      <c r="D95" s="71"/>
      <c r="E95" s="71"/>
      <c r="F95" s="71"/>
      <c r="G95" s="71"/>
      <c r="H95" s="71"/>
      <c r="I95" s="71"/>
      <c r="J95" s="71"/>
      <c r="K95" s="71"/>
      <c r="L95" s="74" t="s">
        <v>249</v>
      </c>
      <c r="M95" s="71"/>
      <c r="N95" s="71"/>
      <c r="O95" s="71"/>
      <c r="P95" s="69"/>
      <c r="Q95" s="69"/>
      <c r="AH95" s="6"/>
      <c r="AI95" s="33">
        <v>7.65</v>
      </c>
      <c r="AK95" s="74" t="s">
        <v>249</v>
      </c>
      <c r="AL95" s="71"/>
      <c r="AM95" s="71"/>
      <c r="AN95" s="71"/>
      <c r="AO95" s="71"/>
      <c r="AP95" s="71"/>
      <c r="AQ95" s="71"/>
      <c r="AR95" s="71"/>
      <c r="AS95" s="71"/>
      <c r="AT95" s="74" t="s">
        <v>249</v>
      </c>
      <c r="AU95" s="71"/>
      <c r="AV95" s="71"/>
      <c r="AW95" s="71"/>
      <c r="AX95" s="71"/>
      <c r="AY95" s="71"/>
      <c r="AZ95" s="71"/>
      <c r="BO95" s="6"/>
      <c r="BP95">
        <v>0</v>
      </c>
    </row>
    <row r="96" spans="1:68">
      <c r="A96">
        <v>16</v>
      </c>
      <c r="C96" s="72" t="s">
        <v>250</v>
      </c>
      <c r="D96" s="71"/>
      <c r="E96" s="71"/>
      <c r="F96" s="71"/>
      <c r="G96" s="71"/>
      <c r="H96" s="71"/>
      <c r="I96" s="71"/>
      <c r="J96" s="71"/>
      <c r="K96" s="71"/>
      <c r="L96" s="72" t="s">
        <v>250</v>
      </c>
      <c r="M96" s="71"/>
      <c r="N96" s="71"/>
      <c r="O96" s="71"/>
      <c r="AH96" s="6"/>
      <c r="AI96" s="33">
        <v>7.65</v>
      </c>
      <c r="AK96" s="72" t="s">
        <v>250</v>
      </c>
      <c r="AL96" s="71"/>
      <c r="AM96" s="71"/>
      <c r="AN96" s="71"/>
      <c r="AO96" s="71"/>
      <c r="AP96" s="71"/>
      <c r="AQ96" s="71"/>
      <c r="AR96" s="71"/>
      <c r="AS96" s="71"/>
      <c r="AT96" s="72" t="s">
        <v>250</v>
      </c>
      <c r="AU96" s="71"/>
      <c r="AV96" s="71"/>
      <c r="AW96" s="71"/>
      <c r="AX96" s="71"/>
      <c r="AY96" s="71"/>
      <c r="AZ96" s="71"/>
      <c r="BO96" s="6"/>
      <c r="BP96">
        <v>0</v>
      </c>
    </row>
    <row r="97" spans="1:68" ht="16.5">
      <c r="A97">
        <v>16</v>
      </c>
      <c r="C97" s="71" t="s">
        <v>251</v>
      </c>
      <c r="D97" s="81">
        <f>SKEW('Datos Limpios'!$D$2:$D$890)</f>
        <v>0.43167947182109517</v>
      </c>
      <c r="E97" s="59" t="s">
        <v>260</v>
      </c>
      <c r="F97" s="85"/>
      <c r="G97" s="85"/>
      <c r="H97" s="85"/>
      <c r="I97" s="85"/>
      <c r="J97" s="85"/>
      <c r="K97" s="71"/>
      <c r="L97" s="71" t="s">
        <v>251</v>
      </c>
      <c r="M97" s="80"/>
      <c r="N97" s="71"/>
      <c r="O97" s="71"/>
      <c r="AH97" s="6"/>
      <c r="AI97" s="33">
        <v>7.65</v>
      </c>
      <c r="AK97" s="71" t="s">
        <v>251</v>
      </c>
      <c r="AL97" s="81">
        <f>SKEW($AI$2:$AI$890)</f>
        <v>4.8014402110441923</v>
      </c>
      <c r="AM97" s="59" t="s">
        <v>269</v>
      </c>
      <c r="AN97" s="85"/>
      <c r="AO97" s="85"/>
      <c r="AP97" s="85"/>
      <c r="AQ97" s="85"/>
      <c r="AR97" s="85"/>
      <c r="AS97" s="71"/>
      <c r="AT97" s="71" t="s">
        <v>251</v>
      </c>
      <c r="AU97" s="80"/>
      <c r="AV97" s="71"/>
      <c r="AW97" s="71"/>
      <c r="AX97" s="71"/>
      <c r="AY97" s="71"/>
      <c r="AZ97" s="71"/>
      <c r="BO97" s="6"/>
      <c r="BP97">
        <v>0</v>
      </c>
    </row>
    <row r="98" spans="1:68" ht="16.5">
      <c r="A98">
        <v>16</v>
      </c>
      <c r="C98" s="71"/>
      <c r="D98" s="71"/>
      <c r="E98" s="59"/>
      <c r="F98" s="85"/>
      <c r="G98" s="85"/>
      <c r="H98" s="85"/>
      <c r="I98" s="85"/>
      <c r="J98" s="85"/>
      <c r="K98" s="71"/>
      <c r="L98" s="71"/>
      <c r="M98" s="71"/>
      <c r="N98" s="71"/>
      <c r="O98" s="71"/>
      <c r="AH98" s="6"/>
      <c r="AI98" s="33">
        <v>7.65</v>
      </c>
      <c r="AK98" s="71"/>
      <c r="AL98" s="71"/>
      <c r="AM98" s="59"/>
      <c r="AN98" s="85"/>
      <c r="AO98" s="85"/>
      <c r="AP98" s="85"/>
      <c r="AQ98" s="85"/>
      <c r="AR98" s="85"/>
      <c r="AS98" s="71"/>
      <c r="AT98" s="71"/>
      <c r="AU98" s="71"/>
      <c r="AV98" s="71"/>
      <c r="AW98" s="71"/>
      <c r="AX98" s="71"/>
      <c r="AY98" s="71"/>
      <c r="AZ98" s="71"/>
      <c r="BO98" s="6"/>
      <c r="BP98">
        <v>0</v>
      </c>
    </row>
    <row r="99" spans="1:68" ht="16.5">
      <c r="A99">
        <v>16</v>
      </c>
      <c r="C99" s="72" t="s">
        <v>252</v>
      </c>
      <c r="D99" s="71"/>
      <c r="E99" s="59"/>
      <c r="F99" s="71"/>
      <c r="G99" s="71"/>
      <c r="H99" s="71"/>
      <c r="I99" s="71"/>
      <c r="J99" s="71"/>
      <c r="K99" s="71"/>
      <c r="L99" s="72" t="s">
        <v>252</v>
      </c>
      <c r="M99" s="71"/>
      <c r="N99" s="71"/>
      <c r="O99" s="71"/>
      <c r="AH99" s="6"/>
      <c r="AI99" s="33">
        <v>7.7249999999999996</v>
      </c>
      <c r="AK99" s="72" t="s">
        <v>252</v>
      </c>
      <c r="AL99" s="71"/>
      <c r="AM99" s="59"/>
      <c r="AN99" s="71"/>
      <c r="AO99" s="71"/>
      <c r="AP99" s="71"/>
      <c r="AQ99" s="71"/>
      <c r="AR99" s="71"/>
      <c r="AS99" s="71"/>
      <c r="AT99" s="72" t="s">
        <v>252</v>
      </c>
      <c r="AU99" s="71"/>
      <c r="AV99" s="71"/>
      <c r="AW99" s="71"/>
      <c r="AX99" s="71"/>
      <c r="AY99" s="71"/>
      <c r="AZ99" s="71"/>
      <c r="BO99" s="6"/>
      <c r="BP99">
        <v>0</v>
      </c>
    </row>
    <row r="100" spans="1:68" ht="16.5">
      <c r="A100">
        <v>16</v>
      </c>
      <c r="C100" s="71" t="s">
        <v>253</v>
      </c>
      <c r="D100" s="81">
        <f>KURT('Datos Limpios'!$D$2:$D$890)</f>
        <v>0.97898227959075568</v>
      </c>
      <c r="E100" s="59" t="s">
        <v>270</v>
      </c>
      <c r="F100" s="85"/>
      <c r="G100" s="85"/>
      <c r="H100" s="85"/>
      <c r="I100" s="85"/>
      <c r="J100" s="85"/>
      <c r="K100" s="85"/>
      <c r="L100" s="71" t="s">
        <v>253</v>
      </c>
      <c r="M100" s="80"/>
      <c r="N100" s="71"/>
      <c r="O100" s="71"/>
      <c r="AH100" s="6"/>
      <c r="AI100" s="33">
        <v>7.7291999999999996</v>
      </c>
      <c r="AK100" s="71" t="s">
        <v>253</v>
      </c>
      <c r="AL100" s="81">
        <f>KURT($AI$2:$AI$890)</f>
        <v>33.508477269700123</v>
      </c>
      <c r="AM100" s="59" t="s">
        <v>271</v>
      </c>
      <c r="AN100" s="85"/>
      <c r="AO100" s="85"/>
      <c r="AP100" s="85"/>
      <c r="AQ100" s="85"/>
      <c r="AR100" s="85"/>
      <c r="AS100" s="85"/>
      <c r="AT100" s="71" t="s">
        <v>253</v>
      </c>
      <c r="AU100" s="80"/>
      <c r="AV100" s="71"/>
      <c r="AW100" s="71"/>
      <c r="AX100" s="71"/>
      <c r="AY100" s="71"/>
      <c r="AZ100" s="71"/>
      <c r="BO100" s="6"/>
      <c r="BP100">
        <v>0</v>
      </c>
    </row>
    <row r="101" spans="1:68">
      <c r="A101">
        <v>16</v>
      </c>
      <c r="AH101" s="6"/>
      <c r="AI101" s="33">
        <v>7.7332999999999998</v>
      </c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O101" s="6"/>
      <c r="BP101">
        <v>0</v>
      </c>
    </row>
    <row r="102" spans="1:68">
      <c r="A102">
        <v>17</v>
      </c>
      <c r="AH102" s="6"/>
      <c r="AI102" s="33">
        <v>7.7332999999999998</v>
      </c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O102" s="6"/>
      <c r="BP102">
        <v>0</v>
      </c>
    </row>
    <row r="103" spans="1:68">
      <c r="A103">
        <v>17</v>
      </c>
      <c r="AH103" s="6"/>
      <c r="AI103" s="33">
        <v>7.7332999999999998</v>
      </c>
      <c r="BO103" s="6"/>
      <c r="BP103">
        <v>0</v>
      </c>
    </row>
    <row r="104" spans="1:68">
      <c r="A104">
        <v>17</v>
      </c>
      <c r="AH104" s="6"/>
      <c r="AI104" s="33">
        <v>7.7332999999999998</v>
      </c>
      <c r="BO104" s="6"/>
      <c r="BP104">
        <v>0</v>
      </c>
    </row>
    <row r="105" spans="1:68">
      <c r="A105">
        <v>17</v>
      </c>
      <c r="AH105" s="6"/>
      <c r="AI105" s="33">
        <v>7.7374999999999998</v>
      </c>
      <c r="BO105" s="6"/>
      <c r="BP105">
        <v>0</v>
      </c>
    </row>
    <row r="106" spans="1:68">
      <c r="A106">
        <v>17</v>
      </c>
      <c r="AH106" s="6"/>
      <c r="AI106" s="33">
        <v>7.7374999999999998</v>
      </c>
      <c r="BO106" s="6"/>
      <c r="BP106">
        <v>0</v>
      </c>
    </row>
    <row r="107" spans="1:68">
      <c r="A107">
        <v>17</v>
      </c>
      <c r="AH107" s="6"/>
      <c r="AI107" s="33">
        <v>7.7416999999999998</v>
      </c>
      <c r="BO107" s="6"/>
      <c r="BP107">
        <v>0</v>
      </c>
    </row>
    <row r="108" spans="1:68">
      <c r="A108">
        <v>17</v>
      </c>
      <c r="AH108" s="6"/>
      <c r="AI108" s="33">
        <v>7.75</v>
      </c>
      <c r="BO108" s="6"/>
      <c r="BP108">
        <v>0</v>
      </c>
    </row>
    <row r="109" spans="1:68">
      <c r="A109">
        <v>17</v>
      </c>
      <c r="AH109" s="6"/>
      <c r="AI109" s="33">
        <v>7.75</v>
      </c>
      <c r="BO109" s="6"/>
      <c r="BP109">
        <v>0</v>
      </c>
    </row>
    <row r="110" spans="1:68">
      <c r="A110">
        <v>17</v>
      </c>
      <c r="AH110" s="6"/>
      <c r="AI110" s="33">
        <v>7.75</v>
      </c>
      <c r="BO110" s="6"/>
      <c r="BP110">
        <v>0</v>
      </c>
    </row>
    <row r="111" spans="1:68">
      <c r="A111">
        <v>17</v>
      </c>
      <c r="AH111" s="6"/>
      <c r="AI111" s="33">
        <v>7.75</v>
      </c>
      <c r="BO111" s="6"/>
      <c r="BP111">
        <v>0</v>
      </c>
    </row>
    <row r="112" spans="1:68">
      <c r="A112">
        <v>17</v>
      </c>
      <c r="AH112" s="6"/>
      <c r="AI112" s="33">
        <v>7.75</v>
      </c>
      <c r="BO112" s="6"/>
      <c r="BP112">
        <v>0</v>
      </c>
    </row>
    <row r="113" spans="1:68">
      <c r="A113">
        <v>17</v>
      </c>
      <c r="AH113" s="6"/>
      <c r="AI113" s="33">
        <v>7.75</v>
      </c>
      <c r="BO113" s="6"/>
      <c r="BP113">
        <v>0</v>
      </c>
    </row>
    <row r="114" spans="1:68">
      <c r="A114">
        <v>17</v>
      </c>
      <c r="AH114" s="6"/>
      <c r="AI114" s="33">
        <v>7.75</v>
      </c>
      <c r="BO114" s="6"/>
      <c r="BP114">
        <v>0</v>
      </c>
    </row>
    <row r="115" spans="1:68">
      <c r="A115">
        <v>18</v>
      </c>
      <c r="AH115" s="6"/>
      <c r="AI115" s="33">
        <v>7.75</v>
      </c>
      <c r="BO115" s="6"/>
      <c r="BP115">
        <v>0</v>
      </c>
    </row>
    <row r="116" spans="1:68">
      <c r="A116">
        <v>18</v>
      </c>
      <c r="AH116" s="6"/>
      <c r="AI116" s="33">
        <v>7.75</v>
      </c>
      <c r="BO116" s="6"/>
      <c r="BP116">
        <v>0</v>
      </c>
    </row>
    <row r="117" spans="1:68">
      <c r="A117">
        <v>18</v>
      </c>
      <c r="AH117" s="6"/>
      <c r="AI117" s="33">
        <v>7.75</v>
      </c>
      <c r="BO117" s="6"/>
      <c r="BP117">
        <v>0</v>
      </c>
    </row>
    <row r="118" spans="1:68">
      <c r="A118">
        <v>18</v>
      </c>
      <c r="AH118" s="6"/>
      <c r="AI118" s="33">
        <v>7.75</v>
      </c>
      <c r="BO118" s="6"/>
      <c r="BP118">
        <v>0</v>
      </c>
    </row>
    <row r="119" spans="1:68">
      <c r="A119">
        <v>18</v>
      </c>
      <c r="AH119" s="6"/>
      <c r="AI119" s="33">
        <v>7.75</v>
      </c>
      <c r="BO119" s="6"/>
      <c r="BP119">
        <v>0</v>
      </c>
    </row>
    <row r="120" spans="1:68">
      <c r="A120">
        <v>18</v>
      </c>
      <c r="AH120" s="6"/>
      <c r="AI120" s="33">
        <v>7.75</v>
      </c>
      <c r="BO120" s="6"/>
      <c r="BP120">
        <v>0</v>
      </c>
    </row>
    <row r="121" spans="1:68">
      <c r="A121">
        <v>18</v>
      </c>
      <c r="AH121" s="6"/>
      <c r="AI121" s="33">
        <v>7.75</v>
      </c>
      <c r="BO121" s="6"/>
      <c r="BP121">
        <v>0</v>
      </c>
    </row>
    <row r="122" spans="1:68">
      <c r="A122">
        <v>18</v>
      </c>
      <c r="AH122" s="6"/>
      <c r="AI122" s="33">
        <v>7.75</v>
      </c>
      <c r="BO122" s="6"/>
      <c r="BP122">
        <v>0</v>
      </c>
    </row>
    <row r="123" spans="1:68">
      <c r="A123">
        <v>18</v>
      </c>
      <c r="AH123" s="6"/>
      <c r="AI123" s="33">
        <v>7.75</v>
      </c>
      <c r="BO123" s="6"/>
      <c r="BP123">
        <v>0</v>
      </c>
    </row>
    <row r="124" spans="1:68">
      <c r="A124">
        <v>18</v>
      </c>
      <c r="AH124" s="6"/>
      <c r="AI124" s="33">
        <v>7.75</v>
      </c>
      <c r="BO124" s="6"/>
      <c r="BP124">
        <v>0</v>
      </c>
    </row>
    <row r="125" spans="1:68">
      <c r="A125">
        <v>18</v>
      </c>
      <c r="AH125" s="6"/>
      <c r="AI125" s="33">
        <v>7.75</v>
      </c>
      <c r="BO125" s="6"/>
      <c r="BP125">
        <v>0</v>
      </c>
    </row>
    <row r="126" spans="1:68">
      <c r="A126">
        <v>18</v>
      </c>
      <c r="AH126" s="6"/>
      <c r="AI126" s="33">
        <v>7.75</v>
      </c>
      <c r="BO126" s="6"/>
      <c r="BP126">
        <v>0</v>
      </c>
    </row>
    <row r="127" spans="1:68">
      <c r="A127">
        <v>18</v>
      </c>
      <c r="AH127" s="6"/>
      <c r="AI127" s="33">
        <v>7.75</v>
      </c>
      <c r="BO127" s="6"/>
      <c r="BP127">
        <v>0</v>
      </c>
    </row>
    <row r="128" spans="1:68">
      <c r="A128">
        <v>18</v>
      </c>
      <c r="AH128" s="6"/>
      <c r="AI128" s="33">
        <v>7.75</v>
      </c>
      <c r="BO128" s="6"/>
      <c r="BP128">
        <v>0</v>
      </c>
    </row>
    <row r="129" spans="1:68">
      <c r="A129">
        <v>18</v>
      </c>
      <c r="AH129" s="6"/>
      <c r="AI129" s="33">
        <v>7.75</v>
      </c>
      <c r="BO129" s="6"/>
      <c r="BP129">
        <v>0</v>
      </c>
    </row>
    <row r="130" spans="1:68">
      <c r="A130">
        <v>18</v>
      </c>
      <c r="AH130" s="6"/>
      <c r="AI130" s="33">
        <v>7.75</v>
      </c>
      <c r="BO130" s="6"/>
      <c r="BP130">
        <v>0</v>
      </c>
    </row>
    <row r="131" spans="1:68">
      <c r="A131">
        <v>18</v>
      </c>
      <c r="AH131" s="6"/>
      <c r="AI131" s="33">
        <v>7.75</v>
      </c>
      <c r="BO131" s="6"/>
      <c r="BP131">
        <v>0</v>
      </c>
    </row>
    <row r="132" spans="1:68">
      <c r="A132">
        <v>18</v>
      </c>
      <c r="AH132" s="6"/>
      <c r="AI132" s="33">
        <v>7.75</v>
      </c>
      <c r="BO132" s="6"/>
      <c r="BP132">
        <v>0</v>
      </c>
    </row>
    <row r="133" spans="1:68">
      <c r="A133">
        <v>18</v>
      </c>
      <c r="AH133" s="6"/>
      <c r="AI133" s="33">
        <v>7.75</v>
      </c>
      <c r="BO133" s="6"/>
      <c r="BP133">
        <v>0</v>
      </c>
    </row>
    <row r="134" spans="1:68">
      <c r="A134">
        <v>18</v>
      </c>
      <c r="AH134" s="6"/>
      <c r="AI134" s="33">
        <v>7.75</v>
      </c>
      <c r="BO134" s="6"/>
      <c r="BP134">
        <v>0</v>
      </c>
    </row>
    <row r="135" spans="1:68">
      <c r="A135">
        <v>18</v>
      </c>
      <c r="AH135" s="6"/>
      <c r="AI135" s="33">
        <v>7.75</v>
      </c>
      <c r="BO135" s="6"/>
      <c r="BP135">
        <v>0</v>
      </c>
    </row>
    <row r="136" spans="1:68">
      <c r="A136">
        <v>18</v>
      </c>
      <c r="AH136" s="6"/>
      <c r="AI136" s="33">
        <v>7.75</v>
      </c>
      <c r="BO136" s="6"/>
      <c r="BP136">
        <v>0</v>
      </c>
    </row>
    <row r="137" spans="1:68">
      <c r="A137">
        <v>18</v>
      </c>
      <c r="AH137" s="6"/>
      <c r="AI137" s="33">
        <v>7.75</v>
      </c>
      <c r="BO137" s="6"/>
      <c r="BP137">
        <v>0</v>
      </c>
    </row>
    <row r="138" spans="1:68">
      <c r="A138">
        <v>18</v>
      </c>
      <c r="AH138" s="6"/>
      <c r="AI138" s="33">
        <v>7.75</v>
      </c>
      <c r="BO138" s="6"/>
      <c r="BP138">
        <v>0</v>
      </c>
    </row>
    <row r="139" spans="1:68">
      <c r="A139">
        <v>18</v>
      </c>
      <c r="AH139" s="6"/>
      <c r="AI139" s="33">
        <v>7.75</v>
      </c>
      <c r="BO139" s="6"/>
      <c r="BP139">
        <v>0</v>
      </c>
    </row>
    <row r="140" spans="1:68">
      <c r="A140">
        <v>18</v>
      </c>
      <c r="AH140" s="6"/>
      <c r="AI140" s="33">
        <v>7.75</v>
      </c>
      <c r="BO140" s="6"/>
      <c r="BP140">
        <v>0</v>
      </c>
    </row>
    <row r="141" spans="1:68">
      <c r="A141">
        <v>19</v>
      </c>
      <c r="AH141" s="6"/>
      <c r="AI141" s="33">
        <v>7.75</v>
      </c>
      <c r="BO141" s="6"/>
      <c r="BP141">
        <v>0</v>
      </c>
    </row>
    <row r="142" spans="1:68">
      <c r="A142">
        <v>19</v>
      </c>
      <c r="AH142" s="6"/>
      <c r="AI142" s="33">
        <v>7.7750000000000004</v>
      </c>
      <c r="BO142" s="6"/>
      <c r="BP142">
        <v>0</v>
      </c>
    </row>
    <row r="143" spans="1:68">
      <c r="A143">
        <v>19</v>
      </c>
      <c r="AH143" s="6"/>
      <c r="AI143" s="33">
        <v>7.7750000000000004</v>
      </c>
      <c r="BO143" s="6"/>
      <c r="BP143">
        <v>0</v>
      </c>
    </row>
    <row r="144" spans="1:68">
      <c r="A144">
        <v>19</v>
      </c>
      <c r="AH144" s="6"/>
      <c r="AI144" s="33">
        <v>7.7750000000000004</v>
      </c>
      <c r="BO144" s="6"/>
      <c r="BP144">
        <v>0</v>
      </c>
    </row>
    <row r="145" spans="1:68">
      <c r="A145">
        <v>19</v>
      </c>
      <c r="AH145" s="6"/>
      <c r="AI145" s="33">
        <v>7.7750000000000004</v>
      </c>
      <c r="BO145" s="6"/>
      <c r="BP145">
        <v>0</v>
      </c>
    </row>
    <row r="146" spans="1:68">
      <c r="A146">
        <v>19</v>
      </c>
      <c r="AH146" s="6"/>
      <c r="AI146" s="33">
        <v>7.7750000000000004</v>
      </c>
      <c r="BO146" s="6"/>
      <c r="BP146">
        <v>0</v>
      </c>
    </row>
    <row r="147" spans="1:68">
      <c r="A147">
        <v>19</v>
      </c>
      <c r="AH147" s="6"/>
      <c r="AI147" s="33">
        <v>7.7750000000000004</v>
      </c>
      <c r="BO147" s="6"/>
      <c r="BP147">
        <v>0</v>
      </c>
    </row>
    <row r="148" spans="1:68">
      <c r="A148">
        <v>19</v>
      </c>
      <c r="AH148" s="6"/>
      <c r="AI148" s="33">
        <v>7.7750000000000004</v>
      </c>
      <c r="BO148" s="6"/>
      <c r="BP148">
        <v>0</v>
      </c>
    </row>
    <row r="149" spans="1:68">
      <c r="A149">
        <v>19</v>
      </c>
      <c r="AH149" s="6"/>
      <c r="AI149" s="33">
        <v>7.7750000000000004</v>
      </c>
      <c r="BO149" s="6"/>
      <c r="BP149">
        <v>0</v>
      </c>
    </row>
    <row r="150" spans="1:68">
      <c r="A150">
        <v>19</v>
      </c>
      <c r="AH150" s="6"/>
      <c r="AI150" s="33">
        <v>7.7750000000000004</v>
      </c>
      <c r="BO150" s="6"/>
      <c r="BP150">
        <v>0</v>
      </c>
    </row>
    <row r="151" spans="1:68">
      <c r="A151">
        <v>19</v>
      </c>
      <c r="AH151" s="6"/>
      <c r="AI151" s="33">
        <v>7.7750000000000004</v>
      </c>
      <c r="BO151" s="6"/>
      <c r="BP151">
        <v>0</v>
      </c>
    </row>
    <row r="152" spans="1:68">
      <c r="A152">
        <v>19</v>
      </c>
      <c r="AH152" s="6"/>
      <c r="AI152" s="33">
        <v>7.7750000000000004</v>
      </c>
      <c r="BO152" s="6"/>
      <c r="BP152">
        <v>0</v>
      </c>
    </row>
    <row r="153" spans="1:68">
      <c r="A153">
        <v>19</v>
      </c>
      <c r="AH153" s="6"/>
      <c r="AI153" s="33">
        <v>7.7750000000000004</v>
      </c>
      <c r="BO153" s="6"/>
      <c r="BP153">
        <v>0</v>
      </c>
    </row>
    <row r="154" spans="1:68">
      <c r="A154">
        <v>19</v>
      </c>
      <c r="AH154" s="6"/>
      <c r="AI154" s="33">
        <v>7.7750000000000004</v>
      </c>
      <c r="BO154" s="6"/>
      <c r="BP154">
        <v>0</v>
      </c>
    </row>
    <row r="155" spans="1:68">
      <c r="A155">
        <v>19</v>
      </c>
      <c r="AH155" s="6"/>
      <c r="AI155" s="33">
        <v>7.7750000000000004</v>
      </c>
      <c r="BO155" s="6"/>
      <c r="BP155">
        <v>0</v>
      </c>
    </row>
    <row r="156" spans="1:68">
      <c r="A156">
        <v>19</v>
      </c>
      <c r="AH156" s="6"/>
      <c r="AI156" s="33">
        <v>7.7750000000000004</v>
      </c>
      <c r="BO156" s="6"/>
      <c r="BP156">
        <v>0</v>
      </c>
    </row>
    <row r="157" spans="1:68">
      <c r="A157">
        <v>19</v>
      </c>
      <c r="AH157" s="6"/>
      <c r="AI157" s="33">
        <v>7.7750000000000004</v>
      </c>
      <c r="BO157" s="6"/>
      <c r="BP157">
        <v>0</v>
      </c>
    </row>
    <row r="158" spans="1:68">
      <c r="A158">
        <v>19</v>
      </c>
      <c r="AH158" s="6"/>
      <c r="AI158" s="33">
        <v>7.7874999999999996</v>
      </c>
      <c r="BO158" s="6"/>
      <c r="BP158">
        <v>0</v>
      </c>
    </row>
    <row r="159" spans="1:68">
      <c r="A159">
        <v>19</v>
      </c>
      <c r="AH159" s="6"/>
      <c r="AI159" s="33">
        <v>7.7957999999999998</v>
      </c>
      <c r="BO159" s="6"/>
      <c r="BP159">
        <v>0</v>
      </c>
    </row>
    <row r="160" spans="1:68">
      <c r="A160">
        <v>19</v>
      </c>
      <c r="AH160" s="6"/>
      <c r="AI160" s="33">
        <v>7.7957999999999998</v>
      </c>
      <c r="BO160" s="6"/>
      <c r="BP160">
        <v>0</v>
      </c>
    </row>
    <row r="161" spans="1:68">
      <c r="A161">
        <v>19</v>
      </c>
      <c r="AH161" s="6"/>
      <c r="AI161" s="33">
        <v>7.7957999999999998</v>
      </c>
      <c r="BO161" s="6"/>
      <c r="BP161">
        <v>0</v>
      </c>
    </row>
    <row r="162" spans="1:68">
      <c r="A162">
        <v>19</v>
      </c>
      <c r="AH162" s="6"/>
      <c r="AI162" s="33">
        <v>7.7957999999999998</v>
      </c>
      <c r="BO162" s="6"/>
      <c r="BP162">
        <v>0</v>
      </c>
    </row>
    <row r="163" spans="1:68">
      <c r="A163">
        <v>19</v>
      </c>
      <c r="AH163" s="6"/>
      <c r="AI163" s="33">
        <v>7.7957999999999998</v>
      </c>
      <c r="BO163" s="6"/>
      <c r="BP163">
        <v>0</v>
      </c>
    </row>
    <row r="164" spans="1:68">
      <c r="A164">
        <v>19</v>
      </c>
      <c r="AH164" s="6"/>
      <c r="AI164" s="33">
        <v>7.7957999999999998</v>
      </c>
      <c r="BO164" s="6"/>
      <c r="BP164">
        <v>0</v>
      </c>
    </row>
    <row r="165" spans="1:68">
      <c r="A165">
        <v>19</v>
      </c>
      <c r="AH165" s="6"/>
      <c r="AI165" s="33">
        <v>7.8</v>
      </c>
      <c r="BO165" s="6"/>
      <c r="BP165">
        <v>0</v>
      </c>
    </row>
    <row r="166" spans="1:68">
      <c r="A166">
        <v>20</v>
      </c>
      <c r="AH166" s="6"/>
      <c r="AI166" s="33">
        <v>7.8292000000000002</v>
      </c>
      <c r="BO166" s="6"/>
      <c r="BP166">
        <v>0</v>
      </c>
    </row>
    <row r="167" spans="1:68">
      <c r="A167">
        <v>20</v>
      </c>
      <c r="AH167" s="6"/>
      <c r="AI167" s="33">
        <v>7.8292000000000002</v>
      </c>
      <c r="BO167" s="6"/>
      <c r="BP167">
        <v>0</v>
      </c>
    </row>
    <row r="168" spans="1:68">
      <c r="A168">
        <v>20</v>
      </c>
      <c r="AH168" s="6"/>
      <c r="AI168" s="33">
        <v>7.8541999999999996</v>
      </c>
      <c r="BO168" s="6"/>
      <c r="BP168">
        <v>0</v>
      </c>
    </row>
    <row r="169" spans="1:68">
      <c r="A169">
        <v>20</v>
      </c>
      <c r="AH169" s="6"/>
      <c r="AI169" s="33">
        <v>7.8541999999999996</v>
      </c>
      <c r="BO169" s="6"/>
      <c r="BP169">
        <v>0</v>
      </c>
    </row>
    <row r="170" spans="1:68">
      <c r="A170">
        <v>20</v>
      </c>
      <c r="AH170" s="6"/>
      <c r="AI170" s="33">
        <v>7.8541999999999996</v>
      </c>
      <c r="BO170" s="6"/>
      <c r="BP170">
        <v>0</v>
      </c>
    </row>
    <row r="171" spans="1:68">
      <c r="A171">
        <v>20</v>
      </c>
      <c r="AH171" s="6"/>
      <c r="AI171" s="33">
        <v>7.8541999999999996</v>
      </c>
      <c r="BO171" s="6"/>
      <c r="BP171">
        <v>0</v>
      </c>
    </row>
    <row r="172" spans="1:68">
      <c r="A172">
        <v>20</v>
      </c>
      <c r="AH172" s="6"/>
      <c r="AI172" s="33">
        <v>7.8541999999999996</v>
      </c>
      <c r="BO172" s="6"/>
      <c r="BP172">
        <v>0</v>
      </c>
    </row>
    <row r="173" spans="1:68">
      <c r="A173">
        <v>20</v>
      </c>
      <c r="AH173" s="6"/>
      <c r="AI173" s="33">
        <v>7.8541999999999996</v>
      </c>
      <c r="BO173" s="6"/>
      <c r="BP173">
        <v>0</v>
      </c>
    </row>
    <row r="174" spans="1:68">
      <c r="A174">
        <v>20</v>
      </c>
      <c r="AH174" s="6"/>
      <c r="AI174" s="33">
        <v>7.8541999999999996</v>
      </c>
      <c r="BO174" s="6"/>
      <c r="BP174">
        <v>0</v>
      </c>
    </row>
    <row r="175" spans="1:68">
      <c r="A175">
        <v>20</v>
      </c>
      <c r="AH175" s="6"/>
      <c r="AI175" s="33">
        <v>7.8541999999999996</v>
      </c>
      <c r="BO175" s="6"/>
      <c r="BP175">
        <v>0</v>
      </c>
    </row>
    <row r="176" spans="1:68">
      <c r="A176">
        <v>20</v>
      </c>
      <c r="AH176" s="6"/>
      <c r="AI176" s="33">
        <v>7.8541999999999996</v>
      </c>
      <c r="BO176" s="6"/>
      <c r="BP176">
        <v>0</v>
      </c>
    </row>
    <row r="177" spans="1:68">
      <c r="A177">
        <v>20</v>
      </c>
      <c r="AH177" s="6"/>
      <c r="AI177" s="33">
        <v>7.8541999999999996</v>
      </c>
      <c r="BO177" s="6"/>
      <c r="BP177">
        <v>0</v>
      </c>
    </row>
    <row r="178" spans="1:68">
      <c r="A178">
        <v>20</v>
      </c>
      <c r="AH178" s="6"/>
      <c r="AI178" s="33">
        <v>7.8541999999999996</v>
      </c>
      <c r="BO178" s="6"/>
      <c r="BP178">
        <v>0</v>
      </c>
    </row>
    <row r="179" spans="1:68">
      <c r="A179">
        <v>20</v>
      </c>
      <c r="AH179" s="6"/>
      <c r="AI179" s="33">
        <v>7.8541999999999996</v>
      </c>
      <c r="BO179" s="6"/>
      <c r="BP179">
        <v>0</v>
      </c>
    </row>
    <row r="180" spans="1:68">
      <c r="A180">
        <v>20</v>
      </c>
      <c r="AH180" s="6"/>
      <c r="AI180" s="33">
        <v>7.8541999999999996</v>
      </c>
      <c r="BO180" s="6"/>
      <c r="BP180">
        <v>0</v>
      </c>
    </row>
    <row r="181" spans="1:68">
      <c r="A181">
        <v>20.5</v>
      </c>
      <c r="AH181" s="6"/>
      <c r="AI181" s="33">
        <v>7.875</v>
      </c>
      <c r="BO181" s="6"/>
      <c r="BP181">
        <v>0</v>
      </c>
    </row>
    <row r="182" spans="1:68">
      <c r="A182">
        <v>21</v>
      </c>
      <c r="AH182" s="6"/>
      <c r="AI182" s="33">
        <v>7.8792</v>
      </c>
      <c r="BO182" s="6"/>
      <c r="BP182">
        <v>0</v>
      </c>
    </row>
    <row r="183" spans="1:68">
      <c r="A183">
        <v>21</v>
      </c>
      <c r="AH183" s="6"/>
      <c r="AI183" s="33">
        <v>7.8792</v>
      </c>
      <c r="BO183" s="6"/>
      <c r="BP183">
        <v>0</v>
      </c>
    </row>
    <row r="184" spans="1:68">
      <c r="A184">
        <v>21</v>
      </c>
      <c r="AH184" s="6"/>
      <c r="AI184" s="33">
        <v>7.8792</v>
      </c>
      <c r="BO184" s="6"/>
      <c r="BP184">
        <v>0</v>
      </c>
    </row>
    <row r="185" spans="1:68">
      <c r="A185">
        <v>21</v>
      </c>
      <c r="AH185" s="6"/>
      <c r="AI185" s="33">
        <v>7.8792</v>
      </c>
      <c r="BO185" s="6"/>
      <c r="BP185">
        <v>0</v>
      </c>
    </row>
    <row r="186" spans="1:68">
      <c r="A186">
        <v>21</v>
      </c>
      <c r="AH186" s="6"/>
      <c r="AI186" s="33">
        <v>7.8875000000000002</v>
      </c>
      <c r="BO186" s="6"/>
      <c r="BP186">
        <v>0</v>
      </c>
    </row>
    <row r="187" spans="1:68">
      <c r="A187">
        <v>21</v>
      </c>
      <c r="AH187" s="6"/>
      <c r="AI187" s="33">
        <v>7.8958000000000004</v>
      </c>
      <c r="BO187" s="6"/>
      <c r="BP187">
        <v>0</v>
      </c>
    </row>
    <row r="188" spans="1:68">
      <c r="A188">
        <v>21</v>
      </c>
      <c r="AH188" s="6"/>
      <c r="AI188" s="33">
        <v>7.8958000000000004</v>
      </c>
      <c r="BO188" s="6"/>
      <c r="BP188">
        <v>0</v>
      </c>
    </row>
    <row r="189" spans="1:68">
      <c r="A189">
        <v>21</v>
      </c>
      <c r="AH189" s="6"/>
      <c r="AI189" s="33">
        <v>7.8958000000000004</v>
      </c>
      <c r="BO189" s="6"/>
      <c r="BP189">
        <v>0</v>
      </c>
    </row>
    <row r="190" spans="1:68">
      <c r="A190">
        <v>21</v>
      </c>
      <c r="AH190" s="6"/>
      <c r="AI190" s="33">
        <v>7.8958000000000004</v>
      </c>
      <c r="BO190" s="6"/>
      <c r="BP190">
        <v>0</v>
      </c>
    </row>
    <row r="191" spans="1:68">
      <c r="A191">
        <v>21</v>
      </c>
      <c r="AH191" s="6"/>
      <c r="AI191" s="33">
        <v>7.8958000000000004</v>
      </c>
      <c r="BO191" s="6"/>
      <c r="BP191">
        <v>0</v>
      </c>
    </row>
    <row r="192" spans="1:68">
      <c r="A192">
        <v>21</v>
      </c>
      <c r="AH192" s="6"/>
      <c r="AI192" s="33">
        <v>7.8958000000000004</v>
      </c>
      <c r="BO192" s="6"/>
      <c r="BP192">
        <v>0</v>
      </c>
    </row>
    <row r="193" spans="1:68">
      <c r="A193">
        <v>21</v>
      </c>
      <c r="AH193" s="6"/>
      <c r="AI193" s="33">
        <v>7.8958000000000004</v>
      </c>
      <c r="BO193" s="6"/>
      <c r="BP193">
        <v>0</v>
      </c>
    </row>
    <row r="194" spans="1:68">
      <c r="A194">
        <v>21</v>
      </c>
      <c r="AH194" s="6"/>
      <c r="AI194" s="33">
        <v>7.8958000000000004</v>
      </c>
      <c r="BO194" s="6"/>
      <c r="BP194">
        <v>0</v>
      </c>
    </row>
    <row r="195" spans="1:68">
      <c r="A195">
        <v>21</v>
      </c>
      <c r="AH195" s="6"/>
      <c r="AI195" s="33">
        <v>7.8958000000000004</v>
      </c>
      <c r="BO195" s="6"/>
      <c r="BP195">
        <v>0</v>
      </c>
    </row>
    <row r="196" spans="1:68">
      <c r="A196">
        <v>21</v>
      </c>
      <c r="AH196" s="6"/>
      <c r="AI196" s="33">
        <v>7.8958000000000004</v>
      </c>
      <c r="BO196" s="6"/>
      <c r="BP196">
        <v>0</v>
      </c>
    </row>
    <row r="197" spans="1:68">
      <c r="A197">
        <v>21</v>
      </c>
      <c r="AH197" s="6"/>
      <c r="AI197" s="33">
        <v>7.8958000000000004</v>
      </c>
      <c r="BO197" s="6"/>
      <c r="BP197">
        <v>0</v>
      </c>
    </row>
    <row r="198" spans="1:68">
      <c r="A198">
        <v>21</v>
      </c>
      <c r="AH198" s="6"/>
      <c r="AI198" s="33">
        <v>7.8958000000000004</v>
      </c>
      <c r="BO198" s="6"/>
      <c r="BP198">
        <v>0</v>
      </c>
    </row>
    <row r="199" spans="1:68">
      <c r="A199">
        <v>21</v>
      </c>
      <c r="AH199" s="6"/>
      <c r="AI199" s="33">
        <v>7.8958000000000004</v>
      </c>
      <c r="BO199" s="6"/>
      <c r="BP199">
        <v>0</v>
      </c>
    </row>
    <row r="200" spans="1:68">
      <c r="A200">
        <v>21</v>
      </c>
      <c r="AH200" s="6"/>
      <c r="AI200" s="33">
        <v>7.8958000000000004</v>
      </c>
      <c r="BO200" s="6"/>
      <c r="BP200">
        <v>0</v>
      </c>
    </row>
    <row r="201" spans="1:68">
      <c r="A201">
        <v>21</v>
      </c>
      <c r="AH201" s="6"/>
      <c r="AI201" s="33">
        <v>7.8958000000000004</v>
      </c>
      <c r="BO201" s="6"/>
      <c r="BP201">
        <v>0</v>
      </c>
    </row>
    <row r="202" spans="1:68">
      <c r="A202">
        <v>21</v>
      </c>
      <c r="AH202" s="6"/>
      <c r="AI202" s="33">
        <v>7.8958000000000004</v>
      </c>
      <c r="BO202" s="6"/>
      <c r="BP202">
        <v>0</v>
      </c>
    </row>
    <row r="203" spans="1:68">
      <c r="A203">
        <v>21</v>
      </c>
      <c r="AH203" s="6"/>
      <c r="AI203" s="33">
        <v>7.8958000000000004</v>
      </c>
      <c r="BO203" s="6"/>
      <c r="BP203">
        <v>0</v>
      </c>
    </row>
    <row r="204" spans="1:68">
      <c r="A204">
        <v>21</v>
      </c>
      <c r="AH204" s="6"/>
      <c r="AI204" s="33">
        <v>7.8958000000000004</v>
      </c>
      <c r="BO204" s="6"/>
      <c r="BP204">
        <v>0</v>
      </c>
    </row>
    <row r="205" spans="1:68">
      <c r="A205">
        <v>21</v>
      </c>
      <c r="AH205" s="6"/>
      <c r="AI205" s="33">
        <v>7.8958000000000004</v>
      </c>
      <c r="BO205" s="6"/>
      <c r="BP205">
        <v>0</v>
      </c>
    </row>
    <row r="206" spans="1:68">
      <c r="A206">
        <v>22</v>
      </c>
      <c r="AH206" s="6"/>
      <c r="AI206" s="33">
        <v>7.8958000000000004</v>
      </c>
      <c r="BO206" s="6"/>
      <c r="BP206">
        <v>0</v>
      </c>
    </row>
    <row r="207" spans="1:68">
      <c r="A207">
        <v>22</v>
      </c>
      <c r="AH207" s="6"/>
      <c r="AI207" s="33">
        <v>7.8958000000000004</v>
      </c>
      <c r="BO207" s="6"/>
      <c r="BP207">
        <v>0</v>
      </c>
    </row>
    <row r="208" spans="1:68">
      <c r="A208">
        <v>22</v>
      </c>
      <c r="AH208" s="6"/>
      <c r="AI208" s="33">
        <v>7.8958000000000004</v>
      </c>
      <c r="BO208" s="6"/>
      <c r="BP208">
        <v>0</v>
      </c>
    </row>
    <row r="209" spans="1:68">
      <c r="A209">
        <v>22</v>
      </c>
      <c r="AH209" s="6"/>
      <c r="AI209" s="33">
        <v>7.8958000000000004</v>
      </c>
      <c r="BO209" s="6"/>
      <c r="BP209">
        <v>0</v>
      </c>
    </row>
    <row r="210" spans="1:68">
      <c r="A210">
        <v>22</v>
      </c>
      <c r="AH210" s="6"/>
      <c r="AI210" s="33">
        <v>7.8958000000000004</v>
      </c>
      <c r="BO210" s="6"/>
      <c r="BP210">
        <v>0</v>
      </c>
    </row>
    <row r="211" spans="1:68">
      <c r="A211">
        <v>22</v>
      </c>
      <c r="AH211" s="6"/>
      <c r="AI211" s="33">
        <v>7.8958000000000004</v>
      </c>
      <c r="BO211" s="6"/>
      <c r="BP211">
        <v>0</v>
      </c>
    </row>
    <row r="212" spans="1:68">
      <c r="A212">
        <v>22</v>
      </c>
      <c r="AH212" s="6"/>
      <c r="AI212" s="33">
        <v>7.8958000000000004</v>
      </c>
      <c r="BO212" s="6"/>
      <c r="BP212">
        <v>0</v>
      </c>
    </row>
    <row r="213" spans="1:68">
      <c r="A213">
        <v>22</v>
      </c>
      <c r="AH213" s="6"/>
      <c r="AI213" s="33">
        <v>7.8958000000000004</v>
      </c>
      <c r="BO213" s="6"/>
      <c r="BP213">
        <v>0</v>
      </c>
    </row>
    <row r="214" spans="1:68">
      <c r="A214">
        <v>22</v>
      </c>
      <c r="AH214" s="6"/>
      <c r="AI214" s="33">
        <v>7.8958000000000004</v>
      </c>
      <c r="BO214" s="6"/>
      <c r="BP214">
        <v>0</v>
      </c>
    </row>
    <row r="215" spans="1:68">
      <c r="A215">
        <v>22</v>
      </c>
      <c r="AH215" s="6"/>
      <c r="AI215" s="33">
        <v>7.8958000000000004</v>
      </c>
      <c r="BO215" s="6"/>
      <c r="BP215">
        <v>0</v>
      </c>
    </row>
    <row r="216" spans="1:68">
      <c r="A216">
        <v>22</v>
      </c>
      <c r="AH216" s="6"/>
      <c r="AI216" s="33">
        <v>7.8958000000000004</v>
      </c>
      <c r="BO216" s="6"/>
      <c r="BP216">
        <v>0</v>
      </c>
    </row>
    <row r="217" spans="1:68">
      <c r="A217">
        <v>22</v>
      </c>
      <c r="AH217" s="6"/>
      <c r="AI217" s="33">
        <v>7.8958000000000004</v>
      </c>
      <c r="BO217" s="6"/>
      <c r="BP217">
        <v>0</v>
      </c>
    </row>
    <row r="218" spans="1:68">
      <c r="A218">
        <v>22</v>
      </c>
      <c r="AH218" s="6"/>
      <c r="AI218" s="33">
        <v>7.8958000000000004</v>
      </c>
      <c r="BO218" s="6"/>
      <c r="BP218">
        <v>0</v>
      </c>
    </row>
    <row r="219" spans="1:68">
      <c r="A219">
        <v>22</v>
      </c>
      <c r="AH219" s="6"/>
      <c r="AI219" s="33">
        <v>7.8958000000000004</v>
      </c>
      <c r="BO219" s="6"/>
      <c r="BP219">
        <v>0</v>
      </c>
    </row>
    <row r="220" spans="1:68">
      <c r="A220">
        <v>22</v>
      </c>
      <c r="AH220" s="6"/>
      <c r="AI220" s="33">
        <v>7.8958000000000004</v>
      </c>
      <c r="BO220" s="6"/>
      <c r="BP220">
        <v>0</v>
      </c>
    </row>
    <row r="221" spans="1:68">
      <c r="A221">
        <v>22</v>
      </c>
      <c r="AH221" s="6"/>
      <c r="AI221" s="33">
        <v>7.8958000000000004</v>
      </c>
      <c r="BO221" s="6"/>
      <c r="BP221">
        <v>0</v>
      </c>
    </row>
    <row r="222" spans="1:68">
      <c r="A222">
        <v>22</v>
      </c>
      <c r="AH222" s="6"/>
      <c r="AI222" s="33">
        <v>7.8958000000000004</v>
      </c>
      <c r="BO222" s="6"/>
      <c r="BP222">
        <v>0</v>
      </c>
    </row>
    <row r="223" spans="1:68">
      <c r="A223">
        <v>22</v>
      </c>
      <c r="AH223" s="6"/>
      <c r="AI223" s="33">
        <v>7.8958000000000004</v>
      </c>
      <c r="BO223" s="6"/>
      <c r="BP223">
        <v>0</v>
      </c>
    </row>
    <row r="224" spans="1:68">
      <c r="A224">
        <v>22</v>
      </c>
      <c r="AH224" s="6"/>
      <c r="AI224" s="33">
        <v>7.8958000000000004</v>
      </c>
      <c r="BO224" s="6"/>
      <c r="BP224">
        <v>0</v>
      </c>
    </row>
    <row r="225" spans="1:68">
      <c r="A225">
        <v>22</v>
      </c>
      <c r="AH225" s="6"/>
      <c r="AI225" s="33">
        <v>7.9249999999999998</v>
      </c>
      <c r="BO225" s="6"/>
      <c r="BP225">
        <v>0</v>
      </c>
    </row>
    <row r="226" spans="1:68">
      <c r="A226">
        <v>22</v>
      </c>
      <c r="AH226" s="6"/>
      <c r="AI226" s="33">
        <v>7.9249999999999998</v>
      </c>
      <c r="BO226" s="6"/>
      <c r="BP226">
        <v>0</v>
      </c>
    </row>
    <row r="227" spans="1:68">
      <c r="A227">
        <v>22</v>
      </c>
      <c r="AH227" s="6"/>
      <c r="AI227" s="33">
        <v>7.9249999999999998</v>
      </c>
      <c r="BO227" s="6"/>
      <c r="BP227">
        <v>0</v>
      </c>
    </row>
    <row r="228" spans="1:68">
      <c r="A228">
        <v>22</v>
      </c>
      <c r="AH228" s="6"/>
      <c r="AI228" s="33">
        <v>7.9249999999999998</v>
      </c>
      <c r="BO228" s="6"/>
      <c r="BP228">
        <v>0</v>
      </c>
    </row>
    <row r="229" spans="1:68">
      <c r="A229">
        <v>22</v>
      </c>
      <c r="AH229" s="6"/>
      <c r="AI229" s="33">
        <v>7.9249999999999998</v>
      </c>
      <c r="BO229" s="6"/>
      <c r="BP229">
        <v>0</v>
      </c>
    </row>
    <row r="230" spans="1:68">
      <c r="A230">
        <v>22</v>
      </c>
      <c r="AH230" s="6"/>
      <c r="AI230" s="33">
        <v>7.9249999999999998</v>
      </c>
      <c r="BO230" s="6"/>
      <c r="BP230">
        <v>0</v>
      </c>
    </row>
    <row r="231" spans="1:68">
      <c r="A231">
        <v>22</v>
      </c>
      <c r="AH231" s="6"/>
      <c r="AI231" s="33">
        <v>7.9249999999999998</v>
      </c>
      <c r="BO231" s="6"/>
      <c r="BP231">
        <v>0</v>
      </c>
    </row>
    <row r="232" spans="1:68">
      <c r="A232">
        <v>22</v>
      </c>
      <c r="AH232" s="6"/>
      <c r="AI232" s="33">
        <v>7.9249999999999998</v>
      </c>
      <c r="BO232" s="6"/>
      <c r="BP232">
        <v>0</v>
      </c>
    </row>
    <row r="233" spans="1:68">
      <c r="A233">
        <v>23</v>
      </c>
      <c r="AH233" s="6"/>
      <c r="AI233" s="33">
        <v>7.9249999999999998</v>
      </c>
      <c r="BO233" s="6"/>
      <c r="BP233">
        <v>0</v>
      </c>
    </row>
    <row r="234" spans="1:68">
      <c r="A234">
        <v>23</v>
      </c>
      <c r="AH234" s="6"/>
      <c r="AI234" s="33">
        <v>7.9249999999999998</v>
      </c>
      <c r="BO234" s="6"/>
      <c r="BP234">
        <v>0</v>
      </c>
    </row>
    <row r="235" spans="1:68">
      <c r="A235">
        <v>23</v>
      </c>
      <c r="AH235" s="6"/>
      <c r="AI235" s="33">
        <v>7.9249999999999998</v>
      </c>
      <c r="BO235" s="6"/>
      <c r="BP235">
        <v>0</v>
      </c>
    </row>
    <row r="236" spans="1:68">
      <c r="A236">
        <v>23</v>
      </c>
      <c r="AH236" s="6"/>
      <c r="AI236" s="33">
        <v>7.9249999999999998</v>
      </c>
      <c r="BO236" s="6"/>
      <c r="BP236">
        <v>0</v>
      </c>
    </row>
    <row r="237" spans="1:68">
      <c r="A237">
        <v>23</v>
      </c>
      <c r="AH237" s="6"/>
      <c r="AI237" s="33">
        <v>7.9249999999999998</v>
      </c>
      <c r="BO237" s="6"/>
      <c r="BP237">
        <v>0</v>
      </c>
    </row>
    <row r="238" spans="1:68">
      <c r="A238">
        <v>23</v>
      </c>
      <c r="AH238" s="6"/>
      <c r="AI238" s="33">
        <v>7.9249999999999998</v>
      </c>
      <c r="BO238" s="6"/>
      <c r="BP238">
        <v>0</v>
      </c>
    </row>
    <row r="239" spans="1:68">
      <c r="A239">
        <v>23</v>
      </c>
      <c r="AH239" s="6"/>
      <c r="AI239" s="33">
        <v>7.9249999999999998</v>
      </c>
      <c r="BO239" s="6"/>
      <c r="BP239">
        <v>0</v>
      </c>
    </row>
    <row r="240" spans="1:68">
      <c r="A240">
        <v>23</v>
      </c>
      <c r="AH240" s="6"/>
      <c r="AI240" s="33">
        <v>7.9249999999999998</v>
      </c>
      <c r="BO240" s="6"/>
      <c r="BP240">
        <v>0</v>
      </c>
    </row>
    <row r="241" spans="1:68">
      <c r="A241">
        <v>23</v>
      </c>
      <c r="AH241" s="6"/>
      <c r="AI241" s="33">
        <v>7.9249999999999998</v>
      </c>
      <c r="BO241" s="6"/>
      <c r="BP241">
        <v>0</v>
      </c>
    </row>
    <row r="242" spans="1:68">
      <c r="A242">
        <v>23</v>
      </c>
      <c r="AH242" s="6"/>
      <c r="AI242" s="33">
        <v>7.9249999999999998</v>
      </c>
      <c r="BO242" s="6"/>
      <c r="BP242">
        <v>0</v>
      </c>
    </row>
    <row r="243" spans="1:68">
      <c r="A243">
        <v>23</v>
      </c>
      <c r="AH243" s="6"/>
      <c r="AI243" s="33">
        <v>8.0291999999999994</v>
      </c>
      <c r="BO243" s="6"/>
      <c r="BP243">
        <v>0</v>
      </c>
    </row>
    <row r="244" spans="1:68">
      <c r="A244">
        <v>23</v>
      </c>
      <c r="AH244" s="6"/>
      <c r="AI244" s="33">
        <v>8.0500000000000007</v>
      </c>
      <c r="BO244" s="6"/>
      <c r="BP244">
        <v>0</v>
      </c>
    </row>
    <row r="245" spans="1:68">
      <c r="A245">
        <v>23</v>
      </c>
      <c r="AH245" s="6"/>
      <c r="AI245" s="33">
        <v>8.0500000000000007</v>
      </c>
      <c r="BO245" s="6"/>
      <c r="BP245">
        <v>0</v>
      </c>
    </row>
    <row r="246" spans="1:68">
      <c r="A246">
        <v>23</v>
      </c>
      <c r="AH246" s="6"/>
      <c r="AI246" s="33">
        <v>8.0500000000000007</v>
      </c>
      <c r="BO246" s="6"/>
      <c r="BP246">
        <v>0</v>
      </c>
    </row>
    <row r="247" spans="1:68">
      <c r="A247">
        <v>23</v>
      </c>
      <c r="AH247" s="6"/>
      <c r="AI247" s="33">
        <v>8.0500000000000007</v>
      </c>
      <c r="BO247" s="6"/>
      <c r="BP247">
        <v>0</v>
      </c>
    </row>
    <row r="248" spans="1:68">
      <c r="A248">
        <v>23.5</v>
      </c>
      <c r="AH248" s="6"/>
      <c r="AI248" s="33">
        <v>8.0500000000000007</v>
      </c>
      <c r="BO248" s="6"/>
      <c r="BP248">
        <v>0</v>
      </c>
    </row>
    <row r="249" spans="1:68">
      <c r="A249">
        <v>24</v>
      </c>
      <c r="AH249" s="6"/>
      <c r="AI249" s="33">
        <v>8.0500000000000007</v>
      </c>
      <c r="BO249" s="6"/>
      <c r="BP249">
        <v>0</v>
      </c>
    </row>
    <row r="250" spans="1:68">
      <c r="A250">
        <v>24</v>
      </c>
      <c r="AH250" s="6"/>
      <c r="AI250" s="33">
        <v>8.0500000000000007</v>
      </c>
      <c r="BO250" s="6"/>
      <c r="BP250">
        <v>0</v>
      </c>
    </row>
    <row r="251" spans="1:68">
      <c r="A251">
        <v>24</v>
      </c>
      <c r="AH251" s="6"/>
      <c r="AI251" s="33">
        <v>8.0500000000000007</v>
      </c>
      <c r="BO251" s="6"/>
      <c r="BP251">
        <v>0</v>
      </c>
    </row>
    <row r="252" spans="1:68">
      <c r="A252">
        <v>24</v>
      </c>
      <c r="AH252" s="6"/>
      <c r="AI252" s="33">
        <v>8.0500000000000007</v>
      </c>
      <c r="BO252" s="6"/>
      <c r="BP252">
        <v>0</v>
      </c>
    </row>
    <row r="253" spans="1:68">
      <c r="A253">
        <v>24</v>
      </c>
      <c r="AH253" s="6"/>
      <c r="AI253" s="33">
        <v>8.0500000000000007</v>
      </c>
      <c r="BO253" s="6"/>
      <c r="BP253">
        <v>0</v>
      </c>
    </row>
    <row r="254" spans="1:68">
      <c r="A254">
        <v>24</v>
      </c>
      <c r="AH254" s="6"/>
      <c r="AI254" s="33">
        <v>8.0500000000000007</v>
      </c>
      <c r="BO254" s="6"/>
      <c r="BP254">
        <v>0</v>
      </c>
    </row>
    <row r="255" spans="1:68">
      <c r="A255">
        <v>24</v>
      </c>
      <c r="AH255" s="6"/>
      <c r="AI255" s="33">
        <v>8.0500000000000007</v>
      </c>
      <c r="BO255" s="6"/>
      <c r="BP255">
        <v>0</v>
      </c>
    </row>
    <row r="256" spans="1:68">
      <c r="A256">
        <v>24</v>
      </c>
      <c r="AH256" s="6"/>
      <c r="AI256" s="33">
        <v>8.0500000000000007</v>
      </c>
      <c r="BO256" s="6"/>
      <c r="BP256">
        <v>0</v>
      </c>
    </row>
    <row r="257" spans="1:68">
      <c r="A257">
        <v>24</v>
      </c>
      <c r="AH257" s="6"/>
      <c r="AI257" s="33">
        <v>8.0500000000000007</v>
      </c>
      <c r="BO257" s="6"/>
      <c r="BP257">
        <v>0</v>
      </c>
    </row>
    <row r="258" spans="1:68">
      <c r="A258">
        <v>24</v>
      </c>
      <c r="AH258" s="6"/>
      <c r="AI258" s="33">
        <v>8.0500000000000007</v>
      </c>
      <c r="BO258" s="6"/>
      <c r="BP258">
        <v>0</v>
      </c>
    </row>
    <row r="259" spans="1:68">
      <c r="A259">
        <v>24</v>
      </c>
      <c r="AH259" s="6"/>
      <c r="AI259" s="33">
        <v>8.0500000000000007</v>
      </c>
      <c r="BO259" s="6"/>
      <c r="BP259">
        <v>0</v>
      </c>
    </row>
    <row r="260" spans="1:68">
      <c r="A260">
        <v>24</v>
      </c>
      <c r="AH260" s="6"/>
      <c r="AI260" s="33">
        <v>8.0500000000000007</v>
      </c>
      <c r="BO260" s="6"/>
      <c r="BP260">
        <v>0</v>
      </c>
    </row>
    <row r="261" spans="1:68">
      <c r="A261">
        <v>24</v>
      </c>
      <c r="AH261" s="6"/>
      <c r="AI261" s="33">
        <v>8.0500000000000007</v>
      </c>
      <c r="BO261" s="6"/>
      <c r="BP261">
        <v>0</v>
      </c>
    </row>
    <row r="262" spans="1:68">
      <c r="A262">
        <v>24</v>
      </c>
      <c r="AH262" s="6"/>
      <c r="AI262" s="33">
        <v>8.0500000000000007</v>
      </c>
      <c r="BO262" s="6"/>
      <c r="BP262">
        <v>0</v>
      </c>
    </row>
    <row r="263" spans="1:68">
      <c r="A263">
        <v>24</v>
      </c>
      <c r="AH263" s="6"/>
      <c r="AI263" s="33">
        <v>8.0500000000000007</v>
      </c>
      <c r="BO263" s="6"/>
      <c r="BP263">
        <v>0</v>
      </c>
    </row>
    <row r="264" spans="1:68">
      <c r="A264">
        <v>24</v>
      </c>
      <c r="AH264" s="6"/>
      <c r="AI264" s="33">
        <v>8.0500000000000007</v>
      </c>
      <c r="BO264" s="6"/>
      <c r="BP264">
        <v>0</v>
      </c>
    </row>
    <row r="265" spans="1:68">
      <c r="A265">
        <v>24</v>
      </c>
      <c r="AH265" s="6"/>
      <c r="AI265" s="33">
        <v>8.0500000000000007</v>
      </c>
      <c r="BO265" s="6"/>
      <c r="BP265">
        <v>0</v>
      </c>
    </row>
    <row r="266" spans="1:68">
      <c r="A266">
        <v>24</v>
      </c>
      <c r="AH266" s="6"/>
      <c r="AI266" s="33">
        <v>8.0500000000000007</v>
      </c>
      <c r="BO266" s="6"/>
      <c r="BP266">
        <v>0</v>
      </c>
    </row>
    <row r="267" spans="1:68">
      <c r="A267">
        <v>24</v>
      </c>
      <c r="AH267" s="6"/>
      <c r="AI267" s="33">
        <v>8.0500000000000007</v>
      </c>
      <c r="BO267" s="6"/>
      <c r="BP267">
        <v>0</v>
      </c>
    </row>
    <row r="268" spans="1:68">
      <c r="A268">
        <v>24</v>
      </c>
      <c r="AH268" s="6"/>
      <c r="AI268" s="33">
        <v>8.0500000000000007</v>
      </c>
      <c r="BO268" s="6"/>
      <c r="BP268">
        <v>0</v>
      </c>
    </row>
    <row r="269" spans="1:68">
      <c r="A269">
        <v>24</v>
      </c>
      <c r="AH269" s="6"/>
      <c r="AI269" s="33">
        <v>8.0500000000000007</v>
      </c>
      <c r="BO269" s="6"/>
      <c r="BP269">
        <v>0</v>
      </c>
    </row>
    <row r="270" spans="1:68">
      <c r="A270">
        <v>24</v>
      </c>
      <c r="AH270" s="6"/>
      <c r="AI270" s="33">
        <v>8.0500000000000007</v>
      </c>
      <c r="BO270" s="6"/>
      <c r="BP270">
        <v>0</v>
      </c>
    </row>
    <row r="271" spans="1:68">
      <c r="A271">
        <v>24</v>
      </c>
      <c r="AH271" s="6"/>
      <c r="AI271" s="33">
        <v>8.0500000000000007</v>
      </c>
      <c r="BO271" s="6"/>
      <c r="BP271">
        <v>0</v>
      </c>
    </row>
    <row r="272" spans="1:68">
      <c r="A272">
        <v>24</v>
      </c>
      <c r="AH272" s="6"/>
      <c r="AI272" s="33">
        <v>8.0500000000000007</v>
      </c>
      <c r="BO272" s="6"/>
      <c r="BP272">
        <v>0</v>
      </c>
    </row>
    <row r="273" spans="1:68">
      <c r="A273">
        <v>24</v>
      </c>
      <c r="AH273" s="6"/>
      <c r="AI273" s="33">
        <v>8.0500000000000007</v>
      </c>
      <c r="BO273" s="6"/>
      <c r="BP273">
        <v>0</v>
      </c>
    </row>
    <row r="274" spans="1:68">
      <c r="A274">
        <v>24</v>
      </c>
      <c r="AH274" s="6"/>
      <c r="AI274" s="33">
        <v>8.0500000000000007</v>
      </c>
      <c r="BO274" s="6"/>
      <c r="BP274">
        <v>0</v>
      </c>
    </row>
    <row r="275" spans="1:68">
      <c r="A275">
        <v>24</v>
      </c>
      <c r="AH275" s="6"/>
      <c r="AI275" s="33">
        <v>8.0500000000000007</v>
      </c>
      <c r="BO275" s="6"/>
      <c r="BP275">
        <v>0</v>
      </c>
    </row>
    <row r="276" spans="1:68">
      <c r="A276">
        <v>24</v>
      </c>
      <c r="AH276" s="6"/>
      <c r="AI276" s="33">
        <v>8.0500000000000007</v>
      </c>
      <c r="BO276" s="6"/>
      <c r="BP276">
        <v>0</v>
      </c>
    </row>
    <row r="277" spans="1:68">
      <c r="A277">
        <v>24</v>
      </c>
      <c r="AH277" s="6"/>
      <c r="AI277" s="33">
        <v>8.0500000000000007</v>
      </c>
      <c r="BO277" s="6"/>
      <c r="BP277">
        <v>0</v>
      </c>
    </row>
    <row r="278" spans="1:68">
      <c r="A278">
        <v>24</v>
      </c>
      <c r="AH278" s="6"/>
      <c r="AI278" s="33">
        <v>8.0500000000000007</v>
      </c>
      <c r="BO278" s="6"/>
      <c r="BP278">
        <v>0</v>
      </c>
    </row>
    <row r="279" spans="1:68">
      <c r="A279">
        <v>24.5</v>
      </c>
      <c r="AH279" s="6"/>
      <c r="AI279" s="33">
        <v>8.0500000000000007</v>
      </c>
      <c r="BO279" s="6"/>
      <c r="BP279">
        <v>0</v>
      </c>
    </row>
    <row r="280" spans="1:68">
      <c r="A280">
        <v>25</v>
      </c>
      <c r="AH280" s="6"/>
      <c r="AI280" s="33">
        <v>8.0500000000000007</v>
      </c>
      <c r="BO280" s="6"/>
      <c r="BP280">
        <v>0</v>
      </c>
    </row>
    <row r="281" spans="1:68">
      <c r="A281">
        <v>25</v>
      </c>
      <c r="AH281" s="6"/>
      <c r="AI281" s="33">
        <v>8.0500000000000007</v>
      </c>
      <c r="BO281" s="6"/>
      <c r="BP281">
        <v>0</v>
      </c>
    </row>
    <row r="282" spans="1:68">
      <c r="A282">
        <v>25</v>
      </c>
      <c r="AH282" s="6"/>
      <c r="AI282" s="33">
        <v>8.0500000000000007</v>
      </c>
      <c r="BO282" s="6"/>
      <c r="BP282">
        <v>0</v>
      </c>
    </row>
    <row r="283" spans="1:68">
      <c r="A283">
        <v>25</v>
      </c>
      <c r="AH283" s="6"/>
      <c r="AI283" s="33">
        <v>8.0500000000000007</v>
      </c>
      <c r="BO283" s="6"/>
      <c r="BP283">
        <v>0</v>
      </c>
    </row>
    <row r="284" spans="1:68">
      <c r="A284">
        <v>25</v>
      </c>
      <c r="AH284" s="6"/>
      <c r="AI284" s="33">
        <v>8.0500000000000007</v>
      </c>
      <c r="BO284" s="6"/>
      <c r="BP284">
        <v>0</v>
      </c>
    </row>
    <row r="285" spans="1:68">
      <c r="A285">
        <v>25</v>
      </c>
      <c r="AH285" s="6"/>
      <c r="AI285" s="33">
        <v>8.0500000000000007</v>
      </c>
      <c r="BO285" s="6"/>
      <c r="BP285">
        <v>0</v>
      </c>
    </row>
    <row r="286" spans="1:68">
      <c r="A286">
        <v>25</v>
      </c>
      <c r="AH286" s="6"/>
      <c r="AI286" s="33">
        <v>8.0500000000000007</v>
      </c>
      <c r="BO286" s="6"/>
      <c r="BP286">
        <v>0</v>
      </c>
    </row>
    <row r="287" spans="1:68">
      <c r="A287">
        <v>25</v>
      </c>
      <c r="AH287" s="6"/>
      <c r="AI287" s="33">
        <v>8.1125000000000007</v>
      </c>
      <c r="BO287" s="6"/>
      <c r="BP287">
        <v>0</v>
      </c>
    </row>
    <row r="288" spans="1:68">
      <c r="A288">
        <v>25</v>
      </c>
      <c r="AH288" s="6"/>
      <c r="AI288" s="33">
        <v>8.1374999999999993</v>
      </c>
      <c r="BO288" s="6"/>
      <c r="BP288">
        <v>0</v>
      </c>
    </row>
    <row r="289" spans="1:68">
      <c r="A289">
        <v>25</v>
      </c>
      <c r="AH289" s="6"/>
      <c r="AI289" s="33">
        <v>8.1583000000000006</v>
      </c>
      <c r="BO289" s="6"/>
      <c r="BP289">
        <v>0</v>
      </c>
    </row>
    <row r="290" spans="1:68">
      <c r="A290">
        <v>25</v>
      </c>
      <c r="AH290" s="6"/>
      <c r="AI290" s="33">
        <v>8.3000000000000007</v>
      </c>
      <c r="BO290" s="6"/>
      <c r="BP290">
        <v>0</v>
      </c>
    </row>
    <row r="291" spans="1:68">
      <c r="A291">
        <v>25</v>
      </c>
      <c r="AH291" s="6"/>
      <c r="AI291" s="33">
        <v>8.3625000000000007</v>
      </c>
      <c r="BO291" s="6"/>
      <c r="BP291">
        <v>0</v>
      </c>
    </row>
    <row r="292" spans="1:68">
      <c r="A292">
        <v>25</v>
      </c>
      <c r="AH292" s="6"/>
      <c r="AI292" s="33">
        <v>8.4041999999999994</v>
      </c>
      <c r="BO292" s="6"/>
      <c r="BP292">
        <v>0</v>
      </c>
    </row>
    <row r="293" spans="1:68">
      <c r="A293">
        <v>25</v>
      </c>
      <c r="AH293" s="6"/>
      <c r="AI293" s="33">
        <v>8.4332999999999991</v>
      </c>
      <c r="BO293" s="6"/>
      <c r="BP293">
        <v>0</v>
      </c>
    </row>
    <row r="294" spans="1:68">
      <c r="A294">
        <v>25</v>
      </c>
      <c r="AH294" s="6"/>
      <c r="AI294" s="33">
        <v>8.4582999999999995</v>
      </c>
      <c r="BO294" s="6"/>
      <c r="BP294">
        <v>0</v>
      </c>
    </row>
    <row r="295" spans="1:68">
      <c r="A295">
        <v>25</v>
      </c>
      <c r="AH295" s="6"/>
      <c r="AI295" s="33">
        <v>8.5167000000000002</v>
      </c>
      <c r="BO295" s="6"/>
      <c r="BP295">
        <v>0</v>
      </c>
    </row>
    <row r="296" spans="1:68">
      <c r="A296">
        <v>25</v>
      </c>
      <c r="AH296" s="6"/>
      <c r="AI296" s="33">
        <v>8.6541999999999994</v>
      </c>
      <c r="BO296" s="6"/>
      <c r="BP296">
        <v>0</v>
      </c>
    </row>
    <row r="297" spans="1:68">
      <c r="A297">
        <v>25</v>
      </c>
      <c r="AH297" s="6"/>
      <c r="AI297" s="33">
        <v>8.6624999999999996</v>
      </c>
      <c r="BO297" s="6"/>
      <c r="BP297">
        <v>0</v>
      </c>
    </row>
    <row r="298" spans="1:68">
      <c r="A298">
        <v>25</v>
      </c>
      <c r="AH298" s="6"/>
      <c r="AI298" s="33">
        <v>8.6624999999999996</v>
      </c>
      <c r="BO298" s="6"/>
      <c r="BP298">
        <v>0</v>
      </c>
    </row>
    <row r="299" spans="1:68">
      <c r="A299">
        <v>25</v>
      </c>
      <c r="AH299" s="6"/>
      <c r="AI299" s="33">
        <v>8.6624999999999996</v>
      </c>
      <c r="BO299" s="6"/>
      <c r="BP299">
        <v>0</v>
      </c>
    </row>
    <row r="300" spans="1:68">
      <c r="A300">
        <v>25</v>
      </c>
      <c r="AH300" s="6"/>
      <c r="AI300" s="33">
        <v>8.6624999999999996</v>
      </c>
      <c r="BO300" s="6"/>
      <c r="BP300">
        <v>0</v>
      </c>
    </row>
    <row r="301" spans="1:68">
      <c r="A301">
        <v>25</v>
      </c>
      <c r="AH301" s="6"/>
      <c r="AI301" s="33">
        <v>8.6624999999999996</v>
      </c>
      <c r="BO301" s="6"/>
      <c r="BP301">
        <v>0</v>
      </c>
    </row>
    <row r="302" spans="1:68">
      <c r="A302">
        <v>25</v>
      </c>
      <c r="AH302" s="6"/>
      <c r="AI302" s="33">
        <v>8.6624999999999996</v>
      </c>
      <c r="BO302" s="6"/>
      <c r="BP302">
        <v>0</v>
      </c>
    </row>
    <row r="303" spans="1:68">
      <c r="A303">
        <v>26</v>
      </c>
      <c r="AH303" s="6"/>
      <c r="AI303" s="33">
        <v>8.6624999999999996</v>
      </c>
      <c r="BO303" s="6"/>
      <c r="BP303">
        <v>0</v>
      </c>
    </row>
    <row r="304" spans="1:68">
      <c r="A304">
        <v>26</v>
      </c>
      <c r="AH304" s="6"/>
      <c r="AI304" s="33">
        <v>8.6624999999999996</v>
      </c>
      <c r="BO304" s="6"/>
      <c r="BP304">
        <v>0</v>
      </c>
    </row>
    <row r="305" spans="1:68">
      <c r="A305">
        <v>26</v>
      </c>
      <c r="AH305" s="6"/>
      <c r="AI305" s="33">
        <v>8.6624999999999996</v>
      </c>
      <c r="BO305" s="6"/>
      <c r="BP305">
        <v>0</v>
      </c>
    </row>
    <row r="306" spans="1:68">
      <c r="A306">
        <v>26</v>
      </c>
      <c r="AH306" s="6"/>
      <c r="AI306" s="33">
        <v>8.6624999999999996</v>
      </c>
      <c r="BO306" s="6"/>
      <c r="BP306">
        <v>0</v>
      </c>
    </row>
    <row r="307" spans="1:68">
      <c r="A307">
        <v>26</v>
      </c>
      <c r="AH307" s="6"/>
      <c r="AI307" s="33">
        <v>8.6624999999999996</v>
      </c>
      <c r="BO307" s="6"/>
      <c r="BP307">
        <v>0</v>
      </c>
    </row>
    <row r="308" spans="1:68">
      <c r="A308">
        <v>26</v>
      </c>
      <c r="AH308" s="6"/>
      <c r="AI308" s="33">
        <v>8.6624999999999996</v>
      </c>
      <c r="BO308" s="6"/>
      <c r="BP308">
        <v>0</v>
      </c>
    </row>
    <row r="309" spans="1:68">
      <c r="A309">
        <v>26</v>
      </c>
      <c r="AH309" s="6"/>
      <c r="AI309" s="33">
        <v>8.6624999999999996</v>
      </c>
      <c r="BO309" s="6"/>
      <c r="BP309">
        <v>0</v>
      </c>
    </row>
    <row r="310" spans="1:68">
      <c r="A310">
        <v>26</v>
      </c>
      <c r="AH310" s="6"/>
      <c r="AI310" s="33">
        <v>8.6832999999999991</v>
      </c>
      <c r="BO310" s="6"/>
      <c r="BP310">
        <v>0</v>
      </c>
    </row>
    <row r="311" spans="1:68">
      <c r="A311">
        <v>26</v>
      </c>
      <c r="AH311" s="6"/>
      <c r="AI311" s="33">
        <v>8.7125000000000004</v>
      </c>
      <c r="BO311" s="6"/>
      <c r="BP311">
        <v>0</v>
      </c>
    </row>
    <row r="312" spans="1:68">
      <c r="A312">
        <v>26</v>
      </c>
      <c r="AH312" s="6"/>
      <c r="AI312" s="33">
        <v>8.85</v>
      </c>
      <c r="BO312" s="6"/>
      <c r="BP312">
        <v>0</v>
      </c>
    </row>
    <row r="313" spans="1:68">
      <c r="A313">
        <v>26</v>
      </c>
      <c r="AH313" s="6"/>
      <c r="AI313" s="33">
        <v>9</v>
      </c>
      <c r="BO313" s="6"/>
      <c r="BP313">
        <v>0</v>
      </c>
    </row>
    <row r="314" spans="1:68">
      <c r="A314">
        <v>26</v>
      </c>
      <c r="AH314" s="6"/>
      <c r="AI314" s="33">
        <v>9</v>
      </c>
      <c r="BO314" s="6"/>
      <c r="BP314">
        <v>0</v>
      </c>
    </row>
    <row r="315" spans="1:68">
      <c r="A315">
        <v>26</v>
      </c>
      <c r="AH315" s="6"/>
      <c r="AI315" s="33">
        <v>9.2166999999999994</v>
      </c>
      <c r="BO315" s="6"/>
      <c r="BP315">
        <v>0</v>
      </c>
    </row>
    <row r="316" spans="1:68">
      <c r="A316">
        <v>26</v>
      </c>
      <c r="AH316" s="6"/>
      <c r="AI316" s="33">
        <v>9.2249999999999996</v>
      </c>
      <c r="BO316" s="6"/>
      <c r="BP316">
        <v>0</v>
      </c>
    </row>
    <row r="317" spans="1:68">
      <c r="A317">
        <v>26</v>
      </c>
      <c r="AH317" s="6"/>
      <c r="AI317" s="33">
        <v>9.2249999999999996</v>
      </c>
      <c r="BO317" s="6"/>
      <c r="BP317">
        <v>0</v>
      </c>
    </row>
    <row r="318" spans="1:68">
      <c r="A318">
        <v>26</v>
      </c>
      <c r="AH318" s="6"/>
      <c r="AI318" s="33">
        <v>9.35</v>
      </c>
      <c r="BO318" s="6"/>
      <c r="BP318">
        <v>0</v>
      </c>
    </row>
    <row r="319" spans="1:68">
      <c r="A319">
        <v>26</v>
      </c>
      <c r="AH319" s="6"/>
      <c r="AI319" s="33">
        <v>9.35</v>
      </c>
      <c r="BO319" s="6"/>
      <c r="BP319">
        <v>0</v>
      </c>
    </row>
    <row r="320" spans="1:68">
      <c r="A320">
        <v>26</v>
      </c>
      <c r="AH320" s="6"/>
      <c r="AI320" s="33">
        <v>9.4749999999999996</v>
      </c>
      <c r="BO320" s="6"/>
      <c r="BP320">
        <v>0</v>
      </c>
    </row>
    <row r="321" spans="1:68">
      <c r="A321">
        <v>27</v>
      </c>
      <c r="AH321" s="6"/>
      <c r="AI321" s="33">
        <v>9.4832999999999998</v>
      </c>
      <c r="BO321" s="6"/>
      <c r="BP321">
        <v>0</v>
      </c>
    </row>
    <row r="322" spans="1:68">
      <c r="A322">
        <v>27</v>
      </c>
      <c r="AH322" s="6"/>
      <c r="AI322" s="33">
        <v>9.5</v>
      </c>
      <c r="BO322" s="6"/>
      <c r="BP322">
        <v>0</v>
      </c>
    </row>
    <row r="323" spans="1:68">
      <c r="A323">
        <v>27</v>
      </c>
      <c r="AH323" s="6"/>
      <c r="AI323" s="33">
        <v>9.5</v>
      </c>
      <c r="BO323" s="6"/>
      <c r="BP323">
        <v>0</v>
      </c>
    </row>
    <row r="324" spans="1:68">
      <c r="A324">
        <v>27</v>
      </c>
      <c r="AH324" s="6"/>
      <c r="AI324" s="33">
        <v>9.5</v>
      </c>
      <c r="BO324" s="6"/>
      <c r="BP324">
        <v>0</v>
      </c>
    </row>
    <row r="325" spans="1:68">
      <c r="A325">
        <v>27</v>
      </c>
      <c r="AH325" s="6"/>
      <c r="AI325" s="33">
        <v>9.5</v>
      </c>
      <c r="BO325" s="6"/>
      <c r="BP325">
        <v>0</v>
      </c>
    </row>
    <row r="326" spans="1:68">
      <c r="A326">
        <v>27</v>
      </c>
      <c r="AH326" s="6"/>
      <c r="AI326" s="33">
        <v>9.5</v>
      </c>
      <c r="BO326" s="6"/>
      <c r="BP326">
        <v>0</v>
      </c>
    </row>
    <row r="327" spans="1:68">
      <c r="A327">
        <v>27</v>
      </c>
      <c r="AH327" s="6"/>
      <c r="AI327" s="33">
        <v>9.5</v>
      </c>
      <c r="BO327" s="6"/>
      <c r="BP327">
        <v>0</v>
      </c>
    </row>
    <row r="328" spans="1:68">
      <c r="A328">
        <v>27</v>
      </c>
      <c r="AH328" s="6"/>
      <c r="AI328" s="33">
        <v>9.5</v>
      </c>
      <c r="BO328" s="6"/>
      <c r="BP328">
        <v>0</v>
      </c>
    </row>
    <row r="329" spans="1:68">
      <c r="A329">
        <v>27</v>
      </c>
      <c r="AH329" s="6"/>
      <c r="AI329" s="33">
        <v>9.5</v>
      </c>
      <c r="BO329" s="6"/>
      <c r="BP329">
        <v>0</v>
      </c>
    </row>
    <row r="330" spans="1:68">
      <c r="A330">
        <v>27</v>
      </c>
      <c r="AH330" s="6"/>
      <c r="AI330" s="33">
        <v>9.5</v>
      </c>
      <c r="BO330" s="6"/>
      <c r="BP330">
        <v>0</v>
      </c>
    </row>
    <row r="331" spans="1:68">
      <c r="A331">
        <v>27</v>
      </c>
      <c r="AH331" s="6"/>
      <c r="AI331" s="33">
        <v>9.5875000000000004</v>
      </c>
      <c r="BO331" s="6"/>
      <c r="BP331">
        <v>0</v>
      </c>
    </row>
    <row r="332" spans="1:68">
      <c r="A332">
        <v>27</v>
      </c>
      <c r="AH332" s="6"/>
      <c r="AI332" s="33">
        <v>9.5875000000000004</v>
      </c>
      <c r="BO332" s="6"/>
      <c r="BP332">
        <v>0</v>
      </c>
    </row>
    <row r="333" spans="1:68">
      <c r="A333">
        <v>27</v>
      </c>
      <c r="AH333" s="6"/>
      <c r="AI333" s="33">
        <v>9.8249999999999993</v>
      </c>
      <c r="BO333" s="6"/>
      <c r="BP333">
        <v>0</v>
      </c>
    </row>
    <row r="334" spans="1:68">
      <c r="A334">
        <v>27</v>
      </c>
      <c r="AH334" s="6"/>
      <c r="AI334" s="33">
        <v>9.8249999999999993</v>
      </c>
      <c r="BO334" s="6"/>
      <c r="BP334">
        <v>0</v>
      </c>
    </row>
    <row r="335" spans="1:68">
      <c r="A335">
        <v>27</v>
      </c>
      <c r="AH335" s="6"/>
      <c r="AI335" s="33">
        <v>9.8375000000000004</v>
      </c>
      <c r="BO335" s="6"/>
      <c r="BP335">
        <v>0</v>
      </c>
    </row>
    <row r="336" spans="1:68">
      <c r="A336">
        <v>27</v>
      </c>
      <c r="AH336" s="6"/>
      <c r="AI336" s="33">
        <v>9.8416999999999994</v>
      </c>
      <c r="BO336" s="6"/>
      <c r="BP336">
        <v>0</v>
      </c>
    </row>
    <row r="337" spans="1:68">
      <c r="A337">
        <v>27</v>
      </c>
      <c r="AH337" s="6"/>
      <c r="AI337" s="33">
        <v>9.8458000000000006</v>
      </c>
      <c r="BO337" s="6"/>
      <c r="BP337">
        <v>0</v>
      </c>
    </row>
    <row r="338" spans="1:68">
      <c r="A338">
        <v>27</v>
      </c>
      <c r="AH338" s="6"/>
      <c r="AI338" s="33">
        <v>10.1708</v>
      </c>
      <c r="BO338" s="6"/>
      <c r="BP338">
        <v>0</v>
      </c>
    </row>
    <row r="339" spans="1:68">
      <c r="A339">
        <v>28</v>
      </c>
      <c r="AH339" s="6"/>
      <c r="AI339" s="33">
        <v>10.4625</v>
      </c>
      <c r="BO339" s="6"/>
      <c r="BP339">
        <v>0</v>
      </c>
    </row>
    <row r="340" spans="1:68">
      <c r="A340">
        <v>28</v>
      </c>
      <c r="AH340" s="6"/>
      <c r="AI340" s="33">
        <v>10.4625</v>
      </c>
      <c r="BO340" s="6"/>
      <c r="BP340">
        <v>0</v>
      </c>
    </row>
    <row r="341" spans="1:68">
      <c r="A341">
        <v>28</v>
      </c>
      <c r="AH341" s="6"/>
      <c r="AI341" s="33">
        <v>10.5</v>
      </c>
      <c r="BO341" s="6"/>
      <c r="BP341">
        <v>0</v>
      </c>
    </row>
    <row r="342" spans="1:68">
      <c r="A342">
        <v>28</v>
      </c>
      <c r="AH342" s="6"/>
      <c r="AI342" s="33">
        <v>10.5</v>
      </c>
      <c r="BO342" s="6"/>
      <c r="BP342">
        <v>0</v>
      </c>
    </row>
    <row r="343" spans="1:68">
      <c r="A343">
        <v>28</v>
      </c>
      <c r="AH343" s="6"/>
      <c r="AI343" s="33">
        <v>10.5</v>
      </c>
      <c r="BO343" s="6"/>
      <c r="BP343">
        <v>0</v>
      </c>
    </row>
    <row r="344" spans="1:68">
      <c r="A344">
        <v>28</v>
      </c>
      <c r="AH344" s="6"/>
      <c r="AI344" s="33">
        <v>10.5</v>
      </c>
      <c r="BO344" s="6"/>
      <c r="BP344">
        <v>0</v>
      </c>
    </row>
    <row r="345" spans="1:68">
      <c r="A345">
        <v>28</v>
      </c>
      <c r="AH345" s="6"/>
      <c r="AI345" s="33">
        <v>10.5</v>
      </c>
      <c r="BO345" s="6"/>
      <c r="BP345">
        <v>0</v>
      </c>
    </row>
    <row r="346" spans="1:68">
      <c r="A346">
        <v>28</v>
      </c>
      <c r="AH346" s="6"/>
      <c r="AI346" s="33">
        <v>10.5</v>
      </c>
      <c r="BO346" s="6"/>
      <c r="BP346">
        <v>0</v>
      </c>
    </row>
    <row r="347" spans="1:68">
      <c r="A347">
        <v>28</v>
      </c>
      <c r="AH347" s="6"/>
      <c r="AI347" s="33">
        <v>10.5</v>
      </c>
      <c r="BO347" s="6"/>
      <c r="BP347">
        <v>0</v>
      </c>
    </row>
    <row r="348" spans="1:68">
      <c r="A348">
        <v>28</v>
      </c>
      <c r="AH348" s="6"/>
      <c r="AI348" s="33">
        <v>10.5</v>
      </c>
      <c r="BO348" s="6"/>
      <c r="BP348">
        <v>0</v>
      </c>
    </row>
    <row r="349" spans="1:68">
      <c r="A349">
        <v>28</v>
      </c>
      <c r="AH349" s="6"/>
      <c r="AI349" s="33">
        <v>10.5</v>
      </c>
      <c r="BO349" s="6"/>
      <c r="BP349">
        <v>0</v>
      </c>
    </row>
    <row r="350" spans="1:68">
      <c r="A350">
        <v>28</v>
      </c>
      <c r="AH350" s="6"/>
      <c r="AI350" s="33">
        <v>10.5</v>
      </c>
      <c r="BO350" s="6"/>
      <c r="BP350">
        <v>0</v>
      </c>
    </row>
    <row r="351" spans="1:68">
      <c r="A351">
        <v>28</v>
      </c>
      <c r="AH351" s="6"/>
      <c r="AI351" s="33">
        <v>10.5</v>
      </c>
      <c r="BO351" s="6"/>
      <c r="BP351">
        <v>0</v>
      </c>
    </row>
    <row r="352" spans="1:68">
      <c r="A352">
        <v>28</v>
      </c>
      <c r="AH352" s="6"/>
      <c r="AI352" s="33">
        <v>10.5</v>
      </c>
      <c r="BO352" s="6"/>
      <c r="BP352">
        <v>0</v>
      </c>
    </row>
    <row r="353" spans="1:68">
      <c r="A353">
        <v>28</v>
      </c>
      <c r="AH353" s="6"/>
      <c r="AI353" s="33">
        <v>10.5</v>
      </c>
      <c r="BO353" s="6"/>
      <c r="BP353">
        <v>0</v>
      </c>
    </row>
    <row r="354" spans="1:68">
      <c r="A354">
        <v>28</v>
      </c>
      <c r="AH354" s="6"/>
      <c r="AI354" s="33">
        <v>10.5</v>
      </c>
      <c r="BO354" s="6"/>
      <c r="BP354">
        <v>0</v>
      </c>
    </row>
    <row r="355" spans="1:68">
      <c r="A355">
        <v>28</v>
      </c>
      <c r="AH355" s="6"/>
      <c r="AI355" s="33">
        <v>10.5</v>
      </c>
      <c r="BO355" s="6"/>
      <c r="BP355">
        <v>0</v>
      </c>
    </row>
    <row r="356" spans="1:68">
      <c r="A356">
        <v>28</v>
      </c>
      <c r="AH356" s="6"/>
      <c r="AI356" s="33">
        <v>10.5</v>
      </c>
      <c r="BO356" s="6"/>
      <c r="BP356">
        <v>0</v>
      </c>
    </row>
    <row r="357" spans="1:68">
      <c r="A357">
        <v>28</v>
      </c>
      <c r="AH357" s="6"/>
      <c r="AI357" s="33">
        <v>10.5</v>
      </c>
      <c r="BO357" s="6"/>
      <c r="BP357">
        <v>0</v>
      </c>
    </row>
    <row r="358" spans="1:68">
      <c r="A358">
        <v>28</v>
      </c>
      <c r="AH358" s="6"/>
      <c r="AI358" s="33">
        <v>10.5</v>
      </c>
      <c r="BO358" s="6"/>
      <c r="BP358">
        <v>0</v>
      </c>
    </row>
    <row r="359" spans="1:68">
      <c r="A359">
        <v>28</v>
      </c>
      <c r="AH359" s="6"/>
      <c r="AI359" s="33">
        <v>10.5</v>
      </c>
      <c r="BO359" s="6"/>
      <c r="BP359">
        <v>0</v>
      </c>
    </row>
    <row r="360" spans="1:68">
      <c r="A360">
        <v>28</v>
      </c>
      <c r="AH360" s="6"/>
      <c r="AI360" s="33">
        <v>10.5</v>
      </c>
      <c r="BO360" s="6"/>
      <c r="BP360">
        <v>0</v>
      </c>
    </row>
    <row r="361" spans="1:68">
      <c r="A361">
        <v>28</v>
      </c>
      <c r="AH361" s="6"/>
      <c r="AI361" s="33">
        <v>10.5</v>
      </c>
      <c r="BO361" s="6"/>
      <c r="BP361">
        <v>0</v>
      </c>
    </row>
    <row r="362" spans="1:68">
      <c r="A362">
        <v>28</v>
      </c>
      <c r="AH362" s="6"/>
      <c r="AI362" s="33">
        <v>10.5</v>
      </c>
      <c r="BO362" s="6"/>
      <c r="BP362">
        <v>0</v>
      </c>
    </row>
    <row r="363" spans="1:68">
      <c r="A363">
        <v>28</v>
      </c>
      <c r="AH363" s="6"/>
      <c r="AI363" s="33">
        <v>10.5</v>
      </c>
      <c r="BO363" s="6"/>
      <c r="BP363">
        <v>0</v>
      </c>
    </row>
    <row r="364" spans="1:68">
      <c r="A364">
        <v>28.5</v>
      </c>
      <c r="AH364" s="6"/>
      <c r="AI364" s="33">
        <v>10.5</v>
      </c>
      <c r="BO364" s="6"/>
      <c r="BP364">
        <v>0</v>
      </c>
    </row>
    <row r="365" spans="1:68">
      <c r="A365">
        <v>28.5</v>
      </c>
      <c r="AH365" s="6"/>
      <c r="AI365" s="33">
        <v>10.5167</v>
      </c>
      <c r="BO365" s="6"/>
      <c r="BP365">
        <v>0</v>
      </c>
    </row>
    <row r="366" spans="1:68">
      <c r="A366">
        <v>29</v>
      </c>
      <c r="AH366" s="6"/>
      <c r="AI366" s="33">
        <v>11.1333</v>
      </c>
      <c r="BO366" s="6"/>
      <c r="BP366">
        <v>0</v>
      </c>
    </row>
    <row r="367" spans="1:68">
      <c r="A367">
        <v>29</v>
      </c>
      <c r="AH367" s="6"/>
      <c r="AI367" s="33">
        <v>11.1333</v>
      </c>
      <c r="BO367" s="6"/>
      <c r="BP367">
        <v>0</v>
      </c>
    </row>
    <row r="368" spans="1:68">
      <c r="A368">
        <v>29</v>
      </c>
      <c r="AH368" s="6"/>
      <c r="AI368" s="33">
        <v>11.1333</v>
      </c>
      <c r="BO368" s="6"/>
      <c r="BP368">
        <v>0</v>
      </c>
    </row>
    <row r="369" spans="1:68">
      <c r="A369">
        <v>29</v>
      </c>
      <c r="AH369" s="6"/>
      <c r="AI369" s="33">
        <v>11.2417</v>
      </c>
      <c r="BO369" s="6"/>
      <c r="BP369">
        <v>0</v>
      </c>
    </row>
    <row r="370" spans="1:68">
      <c r="A370">
        <v>29</v>
      </c>
      <c r="AH370" s="6"/>
      <c r="AI370" s="33">
        <v>11.2417</v>
      </c>
      <c r="BO370" s="6"/>
      <c r="BP370">
        <v>0</v>
      </c>
    </row>
    <row r="371" spans="1:68">
      <c r="A371">
        <v>29</v>
      </c>
      <c r="AH371" s="6"/>
      <c r="AI371" s="33">
        <v>11.5</v>
      </c>
      <c r="BO371" s="6"/>
      <c r="BP371">
        <v>0</v>
      </c>
    </row>
    <row r="372" spans="1:68">
      <c r="A372">
        <v>29</v>
      </c>
      <c r="AH372" s="6"/>
      <c r="AI372" s="33">
        <v>11.5</v>
      </c>
      <c r="BO372" s="6"/>
      <c r="BP372">
        <v>0</v>
      </c>
    </row>
    <row r="373" spans="1:68">
      <c r="A373">
        <v>29</v>
      </c>
      <c r="AH373" s="6"/>
      <c r="AI373" s="33">
        <v>11.5</v>
      </c>
      <c r="BO373" s="6"/>
      <c r="BP373">
        <v>0</v>
      </c>
    </row>
    <row r="374" spans="1:68">
      <c r="A374">
        <v>29</v>
      </c>
      <c r="AH374" s="6"/>
      <c r="AI374" s="33">
        <v>11.5</v>
      </c>
      <c r="BO374" s="6"/>
      <c r="BP374">
        <v>0</v>
      </c>
    </row>
    <row r="375" spans="1:68">
      <c r="A375">
        <v>29</v>
      </c>
      <c r="AH375" s="6"/>
      <c r="AI375" s="33">
        <v>12</v>
      </c>
      <c r="BO375" s="6"/>
      <c r="BP375">
        <v>0</v>
      </c>
    </row>
    <row r="376" spans="1:68">
      <c r="A376">
        <v>29</v>
      </c>
      <c r="AH376" s="6"/>
      <c r="AI376" s="33">
        <v>12.275</v>
      </c>
      <c r="BO376" s="6"/>
      <c r="BP376">
        <v>0</v>
      </c>
    </row>
    <row r="377" spans="1:68">
      <c r="A377">
        <v>29</v>
      </c>
      <c r="AH377" s="6"/>
      <c r="AI377" s="33">
        <v>12.2875</v>
      </c>
      <c r="BO377" s="6"/>
      <c r="BP377">
        <v>0</v>
      </c>
    </row>
    <row r="378" spans="1:68">
      <c r="A378">
        <v>29</v>
      </c>
      <c r="AH378" s="6"/>
      <c r="AI378" s="33">
        <v>12.35</v>
      </c>
      <c r="BO378" s="6"/>
      <c r="BP378">
        <v>0</v>
      </c>
    </row>
    <row r="379" spans="1:68">
      <c r="A379">
        <v>29</v>
      </c>
      <c r="AH379" s="6"/>
      <c r="AI379" s="33">
        <v>12.35</v>
      </c>
      <c r="BO379" s="6"/>
      <c r="BP379">
        <v>0</v>
      </c>
    </row>
    <row r="380" spans="1:68">
      <c r="A380">
        <v>29</v>
      </c>
      <c r="AH380" s="6"/>
      <c r="AI380" s="33">
        <v>12.35</v>
      </c>
      <c r="BO380" s="6"/>
      <c r="BP380">
        <v>0</v>
      </c>
    </row>
    <row r="381" spans="1:68">
      <c r="A381">
        <v>29</v>
      </c>
      <c r="AH381" s="6"/>
      <c r="AI381" s="33">
        <v>12.475</v>
      </c>
      <c r="BO381" s="6"/>
      <c r="BP381">
        <v>0</v>
      </c>
    </row>
    <row r="382" spans="1:68">
      <c r="A382">
        <v>29</v>
      </c>
      <c r="AH382" s="6"/>
      <c r="AI382" s="33">
        <v>12.475</v>
      </c>
      <c r="BO382" s="6"/>
      <c r="BP382">
        <v>0</v>
      </c>
    </row>
    <row r="383" spans="1:68">
      <c r="A383">
        <v>29</v>
      </c>
      <c r="AH383" s="6"/>
      <c r="AI383" s="33">
        <v>12.475</v>
      </c>
      <c r="BO383" s="6"/>
      <c r="BP383">
        <v>0</v>
      </c>
    </row>
    <row r="384" spans="1:68">
      <c r="A384">
        <v>29</v>
      </c>
      <c r="AH384" s="6"/>
      <c r="AI384" s="33">
        <v>12.475</v>
      </c>
      <c r="BO384" s="6"/>
      <c r="BP384">
        <v>0</v>
      </c>
    </row>
    <row r="385" spans="1:68">
      <c r="A385">
        <v>29</v>
      </c>
      <c r="AH385" s="6"/>
      <c r="AI385" s="33">
        <v>12.525</v>
      </c>
      <c r="BO385" s="6"/>
      <c r="BP385">
        <v>0</v>
      </c>
    </row>
    <row r="386" spans="1:68">
      <c r="A386">
        <v>29.7</v>
      </c>
      <c r="AH386" s="6"/>
      <c r="AI386" s="33">
        <v>12.65</v>
      </c>
      <c r="BO386" s="6"/>
      <c r="BP386">
        <v>0</v>
      </c>
    </row>
    <row r="387" spans="1:68">
      <c r="A387">
        <v>29.7</v>
      </c>
      <c r="AH387" s="6"/>
      <c r="AI387" s="33">
        <v>12.875</v>
      </c>
      <c r="BO387" s="6"/>
      <c r="BP387">
        <v>0</v>
      </c>
    </row>
    <row r="388" spans="1:68">
      <c r="A388">
        <v>29.7</v>
      </c>
      <c r="AH388" s="6"/>
      <c r="AI388" s="33">
        <v>13</v>
      </c>
      <c r="BO388" s="6"/>
      <c r="BP388">
        <v>0</v>
      </c>
    </row>
    <row r="389" spans="1:68">
      <c r="A389">
        <v>29.7</v>
      </c>
      <c r="AH389" s="6"/>
      <c r="AI389" s="33">
        <v>13</v>
      </c>
      <c r="BO389" s="6"/>
      <c r="BP389">
        <v>0</v>
      </c>
    </row>
    <row r="390" spans="1:68">
      <c r="A390">
        <v>29.7</v>
      </c>
      <c r="AH390" s="6"/>
      <c r="AI390" s="33">
        <v>13</v>
      </c>
      <c r="BO390" s="6"/>
      <c r="BP390">
        <v>0</v>
      </c>
    </row>
    <row r="391" spans="1:68">
      <c r="A391">
        <v>29.7</v>
      </c>
      <c r="AH391" s="6"/>
      <c r="AI391" s="33">
        <v>13</v>
      </c>
      <c r="BO391" s="6"/>
      <c r="BP391">
        <v>0</v>
      </c>
    </row>
    <row r="392" spans="1:68">
      <c r="A392">
        <v>29.7</v>
      </c>
      <c r="AH392" s="6"/>
      <c r="AI392" s="33">
        <v>13</v>
      </c>
      <c r="BO392" s="6"/>
      <c r="BP392">
        <v>0</v>
      </c>
    </row>
    <row r="393" spans="1:68">
      <c r="A393">
        <v>29.7</v>
      </c>
      <c r="AH393" s="6"/>
      <c r="AI393" s="33">
        <v>13</v>
      </c>
      <c r="BO393" s="6"/>
      <c r="BP393">
        <v>0</v>
      </c>
    </row>
    <row r="394" spans="1:68">
      <c r="A394">
        <v>29.7</v>
      </c>
      <c r="AH394" s="6"/>
      <c r="AI394" s="33">
        <v>13</v>
      </c>
      <c r="BO394" s="6"/>
      <c r="BP394">
        <v>0</v>
      </c>
    </row>
    <row r="395" spans="1:68">
      <c r="A395">
        <v>29.7</v>
      </c>
      <c r="AH395" s="6"/>
      <c r="AI395" s="33">
        <v>13</v>
      </c>
      <c r="BO395" s="6"/>
      <c r="BP395">
        <v>0</v>
      </c>
    </row>
    <row r="396" spans="1:68">
      <c r="A396">
        <v>29.7</v>
      </c>
      <c r="AH396" s="6"/>
      <c r="AI396" s="33">
        <v>13</v>
      </c>
      <c r="BO396" s="6"/>
      <c r="BP396">
        <v>0</v>
      </c>
    </row>
    <row r="397" spans="1:68">
      <c r="A397">
        <v>29.7</v>
      </c>
      <c r="AH397" s="6"/>
      <c r="AI397" s="33">
        <v>13</v>
      </c>
      <c r="BO397" s="6"/>
      <c r="BP397">
        <v>0</v>
      </c>
    </row>
    <row r="398" spans="1:68">
      <c r="A398">
        <v>29.7</v>
      </c>
      <c r="AH398" s="6"/>
      <c r="AI398" s="33">
        <v>13</v>
      </c>
      <c r="BO398" s="6"/>
      <c r="BP398">
        <v>0</v>
      </c>
    </row>
    <row r="399" spans="1:68">
      <c r="A399">
        <v>29.7</v>
      </c>
      <c r="AH399" s="6"/>
      <c r="AI399" s="33">
        <v>13</v>
      </c>
      <c r="BO399" s="6"/>
      <c r="BP399">
        <v>0</v>
      </c>
    </row>
    <row r="400" spans="1:68">
      <c r="A400">
        <v>29.7</v>
      </c>
      <c r="AH400" s="6"/>
      <c r="AI400" s="33">
        <v>13</v>
      </c>
      <c r="BO400" s="6"/>
      <c r="BP400">
        <v>0</v>
      </c>
    </row>
    <row r="401" spans="1:68">
      <c r="A401">
        <v>29.7</v>
      </c>
      <c r="AH401" s="6"/>
      <c r="AI401" s="33">
        <v>13</v>
      </c>
      <c r="BO401" s="6"/>
      <c r="BP401">
        <v>0</v>
      </c>
    </row>
    <row r="402" spans="1:68">
      <c r="A402">
        <v>29.7</v>
      </c>
      <c r="AH402" s="6"/>
      <c r="AI402" s="33">
        <v>13</v>
      </c>
      <c r="BO402" s="6"/>
      <c r="BP402">
        <v>0</v>
      </c>
    </row>
    <row r="403" spans="1:68">
      <c r="A403">
        <v>29.7</v>
      </c>
      <c r="AH403" s="6"/>
      <c r="AI403" s="33">
        <v>13</v>
      </c>
      <c r="BO403" s="6"/>
      <c r="BP403">
        <v>0</v>
      </c>
    </row>
    <row r="404" spans="1:68">
      <c r="A404">
        <v>29.7</v>
      </c>
      <c r="AH404" s="6"/>
      <c r="AI404" s="33">
        <v>13</v>
      </c>
      <c r="BO404" s="6"/>
      <c r="BP404">
        <v>0</v>
      </c>
    </row>
    <row r="405" spans="1:68">
      <c r="A405">
        <v>29.7</v>
      </c>
      <c r="AH405" s="6"/>
      <c r="AI405" s="33">
        <v>13</v>
      </c>
      <c r="BO405" s="6"/>
      <c r="BP405">
        <v>0</v>
      </c>
    </row>
    <row r="406" spans="1:68">
      <c r="A406">
        <v>29.7</v>
      </c>
      <c r="AH406" s="6"/>
      <c r="AI406" s="33">
        <v>13</v>
      </c>
      <c r="BO406" s="6"/>
      <c r="BP406">
        <v>0</v>
      </c>
    </row>
    <row r="407" spans="1:68">
      <c r="A407">
        <v>29.7</v>
      </c>
      <c r="AH407" s="6"/>
      <c r="AI407" s="33">
        <v>13</v>
      </c>
      <c r="BO407" s="6"/>
      <c r="BP407">
        <v>0</v>
      </c>
    </row>
    <row r="408" spans="1:68">
      <c r="A408">
        <v>29.7</v>
      </c>
      <c r="AH408" s="6"/>
      <c r="AI408" s="33">
        <v>13</v>
      </c>
      <c r="BO408" s="6"/>
      <c r="BP408">
        <v>0</v>
      </c>
    </row>
    <row r="409" spans="1:68">
      <c r="A409">
        <v>29.7</v>
      </c>
      <c r="AH409" s="6"/>
      <c r="AI409" s="33">
        <v>13</v>
      </c>
      <c r="BO409" s="6"/>
      <c r="BP409">
        <v>0</v>
      </c>
    </row>
    <row r="410" spans="1:68">
      <c r="A410">
        <v>29.7</v>
      </c>
      <c r="AH410" s="6"/>
      <c r="AI410" s="33">
        <v>13</v>
      </c>
      <c r="BO410" s="6"/>
      <c r="BP410">
        <v>0</v>
      </c>
    </row>
    <row r="411" spans="1:68">
      <c r="A411">
        <v>29.7</v>
      </c>
      <c r="AH411" s="6"/>
      <c r="AI411" s="33">
        <v>13</v>
      </c>
      <c r="BO411" s="6"/>
      <c r="BP411">
        <v>0</v>
      </c>
    </row>
    <row r="412" spans="1:68">
      <c r="A412">
        <v>29.7</v>
      </c>
      <c r="AH412" s="6"/>
      <c r="AI412" s="33">
        <v>13</v>
      </c>
      <c r="BO412" s="6"/>
      <c r="BP412">
        <v>0</v>
      </c>
    </row>
    <row r="413" spans="1:68">
      <c r="A413">
        <v>29.7</v>
      </c>
      <c r="AH413" s="6"/>
      <c r="AI413" s="33">
        <v>13</v>
      </c>
      <c r="BO413" s="6"/>
      <c r="BP413">
        <v>0</v>
      </c>
    </row>
    <row r="414" spans="1:68">
      <c r="A414">
        <v>29.7</v>
      </c>
      <c r="AH414" s="6"/>
      <c r="AI414" s="33">
        <v>13</v>
      </c>
      <c r="BO414" s="6"/>
      <c r="BP414">
        <v>0</v>
      </c>
    </row>
    <row r="415" spans="1:68">
      <c r="A415">
        <v>29.7</v>
      </c>
      <c r="AH415" s="6"/>
      <c r="AI415" s="33">
        <v>13</v>
      </c>
      <c r="BO415" s="6"/>
      <c r="BP415">
        <v>0</v>
      </c>
    </row>
    <row r="416" spans="1:68">
      <c r="A416">
        <v>29.7</v>
      </c>
      <c r="AH416" s="6"/>
      <c r="AI416" s="33">
        <v>13</v>
      </c>
      <c r="BO416" s="6"/>
      <c r="BP416">
        <v>0</v>
      </c>
    </row>
    <row r="417" spans="1:68">
      <c r="A417">
        <v>29.7</v>
      </c>
      <c r="AH417" s="6"/>
      <c r="AI417" s="33">
        <v>13</v>
      </c>
      <c r="BO417" s="6"/>
      <c r="BP417">
        <v>0</v>
      </c>
    </row>
    <row r="418" spans="1:68">
      <c r="A418">
        <v>29.7</v>
      </c>
      <c r="AH418" s="6"/>
      <c r="AI418" s="33">
        <v>13</v>
      </c>
      <c r="BO418" s="6"/>
      <c r="BP418">
        <v>0</v>
      </c>
    </row>
    <row r="419" spans="1:68">
      <c r="A419">
        <v>29.7</v>
      </c>
      <c r="AH419" s="6"/>
      <c r="AI419" s="33">
        <v>13</v>
      </c>
      <c r="BO419" s="6"/>
      <c r="BP419">
        <v>0</v>
      </c>
    </row>
    <row r="420" spans="1:68">
      <c r="A420">
        <v>29.7</v>
      </c>
      <c r="AH420" s="6"/>
      <c r="AI420" s="33">
        <v>13</v>
      </c>
      <c r="BO420" s="6"/>
      <c r="BP420">
        <v>0</v>
      </c>
    </row>
    <row r="421" spans="1:68">
      <c r="A421">
        <v>29.7</v>
      </c>
      <c r="AH421" s="6"/>
      <c r="AI421" s="33">
        <v>13</v>
      </c>
      <c r="BO421" s="6"/>
      <c r="BP421">
        <v>0</v>
      </c>
    </row>
    <row r="422" spans="1:68">
      <c r="A422">
        <v>29.7</v>
      </c>
      <c r="AH422" s="6"/>
      <c r="AI422" s="33">
        <v>13</v>
      </c>
      <c r="BO422" s="6"/>
      <c r="BP422">
        <v>0</v>
      </c>
    </row>
    <row r="423" spans="1:68">
      <c r="A423">
        <v>29.7</v>
      </c>
      <c r="AH423" s="6"/>
      <c r="AI423" s="33">
        <v>13</v>
      </c>
      <c r="BO423" s="6"/>
      <c r="BP423">
        <v>0</v>
      </c>
    </row>
    <row r="424" spans="1:68">
      <c r="A424">
        <v>29.7</v>
      </c>
      <c r="AH424" s="6"/>
      <c r="AI424" s="33">
        <v>13</v>
      </c>
      <c r="BO424" s="6"/>
      <c r="BP424">
        <v>0</v>
      </c>
    </row>
    <row r="425" spans="1:68">
      <c r="A425">
        <v>29.7</v>
      </c>
      <c r="AH425" s="6"/>
      <c r="AI425" s="33">
        <v>13</v>
      </c>
      <c r="BO425" s="6"/>
      <c r="BP425">
        <v>0</v>
      </c>
    </row>
    <row r="426" spans="1:68">
      <c r="A426">
        <v>29.7</v>
      </c>
      <c r="AH426" s="6"/>
      <c r="AI426" s="33">
        <v>13</v>
      </c>
      <c r="BO426" s="6"/>
      <c r="BP426">
        <v>0</v>
      </c>
    </row>
    <row r="427" spans="1:68">
      <c r="A427">
        <v>29.7</v>
      </c>
      <c r="AH427" s="6"/>
      <c r="AI427" s="33">
        <v>13</v>
      </c>
      <c r="BO427" s="6"/>
      <c r="BP427">
        <v>0</v>
      </c>
    </row>
    <row r="428" spans="1:68">
      <c r="A428">
        <v>29.7</v>
      </c>
      <c r="AH428" s="6"/>
      <c r="AI428" s="33">
        <v>13</v>
      </c>
      <c r="BO428" s="6"/>
      <c r="BP428">
        <v>0</v>
      </c>
    </row>
    <row r="429" spans="1:68">
      <c r="A429">
        <v>29.7</v>
      </c>
      <c r="AH429" s="6"/>
      <c r="AI429" s="33">
        <v>13</v>
      </c>
      <c r="BO429" s="6"/>
      <c r="BP429">
        <v>0</v>
      </c>
    </row>
    <row r="430" spans="1:68">
      <c r="A430">
        <v>29.7</v>
      </c>
      <c r="AH430" s="6"/>
      <c r="AI430" s="33">
        <v>13.416700000000001</v>
      </c>
      <c r="BO430" s="6"/>
      <c r="BP430">
        <v>0</v>
      </c>
    </row>
    <row r="431" spans="1:68">
      <c r="A431">
        <v>29.7</v>
      </c>
      <c r="AH431" s="6"/>
      <c r="AI431" s="33">
        <v>13.5</v>
      </c>
      <c r="BO431" s="6"/>
      <c r="BP431">
        <v>0</v>
      </c>
    </row>
    <row r="432" spans="1:68">
      <c r="A432">
        <v>29.7</v>
      </c>
      <c r="AH432" s="6"/>
      <c r="AI432" s="33">
        <v>13.5</v>
      </c>
      <c r="BO432" s="6"/>
      <c r="BP432">
        <v>0</v>
      </c>
    </row>
    <row r="433" spans="1:68">
      <c r="A433">
        <v>29.7</v>
      </c>
      <c r="AH433" s="6"/>
      <c r="AI433" s="33">
        <v>13.5</v>
      </c>
      <c r="BO433" s="6"/>
      <c r="BP433">
        <v>0</v>
      </c>
    </row>
    <row r="434" spans="1:68">
      <c r="A434">
        <v>29.7</v>
      </c>
      <c r="AH434" s="6"/>
      <c r="AI434" s="33">
        <v>13.5</v>
      </c>
      <c r="BO434" s="6"/>
      <c r="BP434">
        <v>0</v>
      </c>
    </row>
    <row r="435" spans="1:68">
      <c r="A435">
        <v>29.7</v>
      </c>
      <c r="AH435" s="6"/>
      <c r="AI435" s="33">
        <v>13.791700000000001</v>
      </c>
      <c r="BO435" s="6"/>
      <c r="BP435">
        <v>0</v>
      </c>
    </row>
    <row r="436" spans="1:68">
      <c r="A436">
        <v>29.7</v>
      </c>
      <c r="AH436" s="6"/>
      <c r="AI436" s="33">
        <v>13.8583</v>
      </c>
      <c r="BO436" s="6"/>
      <c r="BP436">
        <v>0</v>
      </c>
    </row>
    <row r="437" spans="1:68">
      <c r="A437">
        <v>29.7</v>
      </c>
      <c r="AH437" s="6"/>
      <c r="AI437" s="33">
        <v>13.862500000000001</v>
      </c>
      <c r="BO437" s="6"/>
      <c r="BP437">
        <v>0</v>
      </c>
    </row>
    <row r="438" spans="1:68">
      <c r="A438">
        <v>29.7</v>
      </c>
      <c r="AH438" s="6"/>
      <c r="AI438" s="33">
        <v>14</v>
      </c>
      <c r="BO438" s="6"/>
      <c r="BP438">
        <v>0</v>
      </c>
    </row>
    <row r="439" spans="1:68">
      <c r="A439">
        <v>29.7</v>
      </c>
      <c r="AH439" s="6"/>
      <c r="AI439" s="33">
        <v>14.1083</v>
      </c>
      <c r="BO439" s="6"/>
      <c r="BP439">
        <v>0</v>
      </c>
    </row>
    <row r="440" spans="1:68">
      <c r="A440">
        <v>29.7</v>
      </c>
      <c r="AH440" s="6"/>
      <c r="AI440" s="33">
        <v>14.4</v>
      </c>
      <c r="BO440" s="6"/>
      <c r="BP440">
        <v>0</v>
      </c>
    </row>
    <row r="441" spans="1:68">
      <c r="A441">
        <v>29.7</v>
      </c>
      <c r="AH441" s="6"/>
      <c r="AI441" s="33">
        <v>14.4</v>
      </c>
      <c r="BO441" s="6"/>
      <c r="BP441">
        <v>0</v>
      </c>
    </row>
    <row r="442" spans="1:68">
      <c r="A442">
        <v>29.7</v>
      </c>
      <c r="AH442" s="6"/>
      <c r="AI442" s="33">
        <v>14.4542</v>
      </c>
      <c r="BO442" s="6"/>
      <c r="BP442">
        <v>0</v>
      </c>
    </row>
    <row r="443" spans="1:68">
      <c r="A443">
        <v>29.7</v>
      </c>
      <c r="AH443" s="6"/>
      <c r="AI443" s="33">
        <v>14.4542</v>
      </c>
      <c r="BO443" s="6"/>
      <c r="BP443">
        <v>0</v>
      </c>
    </row>
    <row r="444" spans="1:68">
      <c r="A444">
        <v>29.7</v>
      </c>
      <c r="AH444" s="6"/>
      <c r="AI444" s="33">
        <v>14.4542</v>
      </c>
      <c r="BO444" s="6"/>
      <c r="BP444">
        <v>0</v>
      </c>
    </row>
    <row r="445" spans="1:68">
      <c r="A445">
        <v>29.7</v>
      </c>
      <c r="AH445" s="6"/>
      <c r="AI445" s="33">
        <v>14.4542</v>
      </c>
      <c r="BO445" s="6"/>
      <c r="BP445">
        <v>0</v>
      </c>
    </row>
    <row r="446" spans="1:68">
      <c r="A446">
        <v>29.7</v>
      </c>
      <c r="AH446" s="6"/>
      <c r="AI446" s="33">
        <v>14.4542</v>
      </c>
      <c r="BO446" s="6"/>
      <c r="BP446">
        <v>0</v>
      </c>
    </row>
    <row r="447" spans="1:68">
      <c r="A447">
        <v>29.7</v>
      </c>
      <c r="AH447" s="6"/>
      <c r="AI447" s="33">
        <v>14.4542</v>
      </c>
      <c r="BO447" s="6"/>
      <c r="BP447">
        <v>0</v>
      </c>
    </row>
    <row r="448" spans="1:68">
      <c r="A448">
        <v>29.7</v>
      </c>
      <c r="AH448" s="6"/>
      <c r="AI448" s="33">
        <v>14.4542</v>
      </c>
      <c r="BO448" s="6"/>
      <c r="BP448">
        <v>0</v>
      </c>
    </row>
    <row r="449" spans="1:68">
      <c r="A449">
        <v>29.7</v>
      </c>
      <c r="AH449" s="6"/>
      <c r="AI449" s="33">
        <v>14.458299999999999</v>
      </c>
      <c r="BO449" s="6"/>
      <c r="BP449">
        <v>0</v>
      </c>
    </row>
    <row r="450" spans="1:68">
      <c r="A450">
        <v>29.7</v>
      </c>
      <c r="AH450" s="6"/>
      <c r="AI450" s="33">
        <v>14.458299999999999</v>
      </c>
      <c r="BO450" s="6"/>
      <c r="BP450">
        <v>0</v>
      </c>
    </row>
    <row r="451" spans="1:68">
      <c r="A451">
        <v>29.7</v>
      </c>
      <c r="AH451" s="6"/>
      <c r="AI451" s="33">
        <v>14.458299999999999</v>
      </c>
      <c r="BO451" s="6"/>
      <c r="BP451">
        <v>0</v>
      </c>
    </row>
    <row r="452" spans="1:68">
      <c r="A452">
        <v>29.7</v>
      </c>
      <c r="AH452" s="6"/>
      <c r="AI452" s="33">
        <v>14.5</v>
      </c>
      <c r="BO452" s="6"/>
      <c r="BP452">
        <v>0</v>
      </c>
    </row>
    <row r="453" spans="1:68">
      <c r="A453">
        <v>29.7</v>
      </c>
      <c r="AH453" s="6"/>
      <c r="AI453" s="33">
        <v>14.5</v>
      </c>
      <c r="BO453" s="6"/>
      <c r="BP453">
        <v>0</v>
      </c>
    </row>
    <row r="454" spans="1:68">
      <c r="A454">
        <v>29.7</v>
      </c>
      <c r="AH454" s="6"/>
      <c r="AI454" s="33">
        <v>14.5</v>
      </c>
      <c r="BO454" s="6"/>
      <c r="BP454">
        <v>0</v>
      </c>
    </row>
    <row r="455" spans="1:68">
      <c r="A455">
        <v>29.7</v>
      </c>
      <c r="AH455" s="6"/>
      <c r="AI455" s="33">
        <v>14.5</v>
      </c>
      <c r="BO455" s="6"/>
      <c r="BP455">
        <v>0</v>
      </c>
    </row>
    <row r="456" spans="1:68">
      <c r="A456">
        <v>29.7</v>
      </c>
      <c r="AH456" s="6"/>
      <c r="AI456" s="33">
        <v>14.5</v>
      </c>
      <c r="BO456" s="6"/>
      <c r="BP456">
        <v>0</v>
      </c>
    </row>
    <row r="457" spans="1:68">
      <c r="A457">
        <v>29.7</v>
      </c>
      <c r="AH457" s="6"/>
      <c r="AI457" s="33">
        <v>14.5</v>
      </c>
      <c r="BO457" s="6"/>
      <c r="BP457">
        <v>0</v>
      </c>
    </row>
    <row r="458" spans="1:68">
      <c r="A458">
        <v>29.7</v>
      </c>
      <c r="AH458" s="6"/>
      <c r="AI458" s="33">
        <v>14.5</v>
      </c>
      <c r="BO458" s="6"/>
      <c r="BP458">
        <v>0</v>
      </c>
    </row>
    <row r="459" spans="1:68">
      <c r="A459">
        <v>29.7</v>
      </c>
      <c r="AH459" s="6"/>
      <c r="AI459" s="33">
        <v>15</v>
      </c>
      <c r="BO459" s="6"/>
      <c r="BP459">
        <v>0</v>
      </c>
    </row>
    <row r="460" spans="1:68">
      <c r="A460">
        <v>29.7</v>
      </c>
      <c r="AH460" s="6"/>
      <c r="AI460" s="33">
        <v>15.0458</v>
      </c>
      <c r="BO460" s="6"/>
      <c r="BP460">
        <v>0</v>
      </c>
    </row>
    <row r="461" spans="1:68">
      <c r="A461">
        <v>29.7</v>
      </c>
      <c r="AH461" s="6"/>
      <c r="AI461" s="33">
        <v>15.05</v>
      </c>
      <c r="BO461" s="6"/>
      <c r="BP461">
        <v>0</v>
      </c>
    </row>
    <row r="462" spans="1:68">
      <c r="A462">
        <v>29.7</v>
      </c>
      <c r="AH462" s="6"/>
      <c r="AI462" s="33">
        <v>15.1</v>
      </c>
      <c r="BO462" s="6"/>
      <c r="BP462">
        <v>0</v>
      </c>
    </row>
    <row r="463" spans="1:68">
      <c r="A463">
        <v>29.7</v>
      </c>
      <c r="AH463" s="6"/>
      <c r="AI463" s="33">
        <v>15.245799999999999</v>
      </c>
      <c r="BO463" s="6"/>
      <c r="BP463">
        <v>0</v>
      </c>
    </row>
    <row r="464" spans="1:68">
      <c r="A464">
        <v>29.7</v>
      </c>
      <c r="AH464" s="6"/>
      <c r="AI464" s="33">
        <v>15.245799999999999</v>
      </c>
      <c r="BO464" s="6"/>
      <c r="BP464">
        <v>0</v>
      </c>
    </row>
    <row r="465" spans="1:68">
      <c r="A465">
        <v>29.7</v>
      </c>
      <c r="AH465" s="6"/>
      <c r="AI465" s="33">
        <v>15.245799999999999</v>
      </c>
      <c r="BO465" s="6"/>
      <c r="BP465">
        <v>0</v>
      </c>
    </row>
    <row r="466" spans="1:68">
      <c r="A466">
        <v>29.7</v>
      </c>
      <c r="AH466" s="6"/>
      <c r="AI466" s="33">
        <v>15.245799999999999</v>
      </c>
      <c r="BO466" s="6"/>
      <c r="BP466">
        <v>0</v>
      </c>
    </row>
    <row r="467" spans="1:68">
      <c r="A467">
        <v>29.7</v>
      </c>
      <c r="AH467" s="6"/>
      <c r="AI467" s="33">
        <v>15.245799999999999</v>
      </c>
      <c r="BO467" s="6"/>
      <c r="BP467">
        <v>0</v>
      </c>
    </row>
    <row r="468" spans="1:68">
      <c r="A468">
        <v>29.7</v>
      </c>
      <c r="AH468" s="6"/>
      <c r="AI468" s="33">
        <v>15.5</v>
      </c>
      <c r="BO468" s="6"/>
      <c r="BP468">
        <v>0</v>
      </c>
    </row>
    <row r="469" spans="1:68">
      <c r="A469">
        <v>29.7</v>
      </c>
      <c r="AH469" s="6"/>
      <c r="AI469" s="33">
        <v>15.5</v>
      </c>
      <c r="BO469" s="6"/>
      <c r="BP469">
        <v>0</v>
      </c>
    </row>
    <row r="470" spans="1:68">
      <c r="A470">
        <v>29.7</v>
      </c>
      <c r="AH470" s="6"/>
      <c r="AI470" s="33">
        <v>15.5</v>
      </c>
      <c r="BO470" s="6"/>
      <c r="BP470">
        <v>0</v>
      </c>
    </row>
    <row r="471" spans="1:68">
      <c r="A471">
        <v>29.7</v>
      </c>
      <c r="AH471" s="6"/>
      <c r="AI471" s="33">
        <v>15.5</v>
      </c>
      <c r="BO471" s="6"/>
      <c r="BP471">
        <v>0</v>
      </c>
    </row>
    <row r="472" spans="1:68">
      <c r="A472">
        <v>29.7</v>
      </c>
      <c r="AH472" s="6"/>
      <c r="AI472" s="33">
        <v>15.5</v>
      </c>
      <c r="BO472" s="6"/>
      <c r="BP472">
        <v>0</v>
      </c>
    </row>
    <row r="473" spans="1:68">
      <c r="A473">
        <v>29.7</v>
      </c>
      <c r="AH473" s="6"/>
      <c r="AI473" s="33">
        <v>15.5</v>
      </c>
      <c r="BO473" s="6"/>
      <c r="BP473">
        <v>0</v>
      </c>
    </row>
    <row r="474" spans="1:68">
      <c r="A474">
        <v>29.7</v>
      </c>
      <c r="AH474" s="6"/>
      <c r="AI474" s="33">
        <v>15.5</v>
      </c>
      <c r="BO474" s="6"/>
      <c r="BP474">
        <v>0</v>
      </c>
    </row>
    <row r="475" spans="1:68">
      <c r="A475">
        <v>29.7</v>
      </c>
      <c r="AH475" s="6"/>
      <c r="AI475" s="33">
        <v>15.5</v>
      </c>
      <c r="BO475" s="6"/>
      <c r="BP475">
        <v>0</v>
      </c>
    </row>
    <row r="476" spans="1:68">
      <c r="A476">
        <v>29.7</v>
      </c>
      <c r="AH476" s="6"/>
      <c r="AI476" s="33">
        <v>15.55</v>
      </c>
      <c r="BO476" s="6"/>
      <c r="BP476">
        <v>0</v>
      </c>
    </row>
    <row r="477" spans="1:68">
      <c r="A477">
        <v>29.7</v>
      </c>
      <c r="AH477" s="6"/>
      <c r="AI477" s="33">
        <v>15.7417</v>
      </c>
      <c r="BO477" s="6"/>
      <c r="BP477">
        <v>0</v>
      </c>
    </row>
    <row r="478" spans="1:68">
      <c r="A478">
        <v>29.7</v>
      </c>
      <c r="AH478" s="6"/>
      <c r="AI478" s="33">
        <v>15.7417</v>
      </c>
      <c r="BO478" s="6"/>
      <c r="BP478">
        <v>0</v>
      </c>
    </row>
    <row r="479" spans="1:68">
      <c r="A479">
        <v>29.7</v>
      </c>
      <c r="AH479" s="6"/>
      <c r="AI479" s="33">
        <v>15.75</v>
      </c>
      <c r="BO479" s="6"/>
      <c r="BP479">
        <v>0</v>
      </c>
    </row>
    <row r="480" spans="1:68">
      <c r="A480">
        <v>29.7</v>
      </c>
      <c r="AH480" s="6"/>
      <c r="AI480" s="33">
        <v>15.85</v>
      </c>
      <c r="BO480" s="6"/>
      <c r="BP480">
        <v>0</v>
      </c>
    </row>
    <row r="481" spans="1:68">
      <c r="A481">
        <v>29.7</v>
      </c>
      <c r="AH481" s="6"/>
      <c r="AI481" s="33">
        <v>15.85</v>
      </c>
      <c r="BO481" s="6"/>
      <c r="BP481">
        <v>0</v>
      </c>
    </row>
    <row r="482" spans="1:68">
      <c r="A482">
        <v>29.7</v>
      </c>
      <c r="AH482" s="6"/>
      <c r="AI482" s="33">
        <v>15.85</v>
      </c>
      <c r="BO482" s="6"/>
      <c r="BP482">
        <v>0</v>
      </c>
    </row>
    <row r="483" spans="1:68">
      <c r="A483">
        <v>29.7</v>
      </c>
      <c r="AH483" s="6"/>
      <c r="AI483" s="33">
        <v>15.85</v>
      </c>
      <c r="BO483" s="6"/>
      <c r="BP483">
        <v>0</v>
      </c>
    </row>
    <row r="484" spans="1:68">
      <c r="A484">
        <v>29.7</v>
      </c>
      <c r="AH484" s="6"/>
      <c r="AI484" s="33">
        <v>15.9</v>
      </c>
      <c r="BO484" s="6"/>
      <c r="BP484">
        <v>0</v>
      </c>
    </row>
    <row r="485" spans="1:68">
      <c r="A485">
        <v>29.7</v>
      </c>
      <c r="AH485" s="6"/>
      <c r="AI485" s="33">
        <v>15.9</v>
      </c>
      <c r="BO485" s="6"/>
      <c r="BP485">
        <v>0</v>
      </c>
    </row>
    <row r="486" spans="1:68">
      <c r="A486">
        <v>29.7</v>
      </c>
      <c r="AH486" s="6"/>
      <c r="AI486" s="33">
        <v>16</v>
      </c>
      <c r="BO486" s="6"/>
      <c r="BP486">
        <v>0</v>
      </c>
    </row>
    <row r="487" spans="1:68">
      <c r="A487">
        <v>29.7</v>
      </c>
      <c r="AH487" s="6"/>
      <c r="AI487" s="33">
        <v>16.100000000000001</v>
      </c>
      <c r="BO487" s="6"/>
      <c r="BP487">
        <v>0</v>
      </c>
    </row>
    <row r="488" spans="1:68">
      <c r="A488">
        <v>29.7</v>
      </c>
      <c r="AH488" s="6"/>
      <c r="AI488" s="33">
        <v>16.100000000000001</v>
      </c>
      <c r="BO488" s="6"/>
      <c r="BP488">
        <v>0</v>
      </c>
    </row>
    <row r="489" spans="1:68">
      <c r="A489">
        <v>29.7</v>
      </c>
      <c r="AH489" s="6"/>
      <c r="AI489" s="33">
        <v>16.100000000000001</v>
      </c>
      <c r="BO489" s="6"/>
      <c r="BP489">
        <v>0</v>
      </c>
    </row>
    <row r="490" spans="1:68">
      <c r="A490">
        <v>29.7</v>
      </c>
      <c r="AH490" s="6"/>
      <c r="AI490" s="33">
        <v>16.100000000000001</v>
      </c>
      <c r="BO490" s="6"/>
      <c r="BP490">
        <v>0</v>
      </c>
    </row>
    <row r="491" spans="1:68">
      <c r="A491">
        <v>29.7</v>
      </c>
      <c r="AH491" s="6"/>
      <c r="AI491" s="33">
        <v>16.100000000000001</v>
      </c>
      <c r="BO491" s="6"/>
      <c r="BP491">
        <v>0</v>
      </c>
    </row>
    <row r="492" spans="1:68">
      <c r="A492">
        <v>29.7</v>
      </c>
      <c r="AH492" s="6"/>
      <c r="AI492" s="33">
        <v>16.100000000000001</v>
      </c>
      <c r="BO492" s="6"/>
      <c r="BP492">
        <v>0</v>
      </c>
    </row>
    <row r="493" spans="1:68">
      <c r="A493">
        <v>29.7</v>
      </c>
      <c r="AH493" s="6"/>
      <c r="AI493" s="33">
        <v>16.100000000000001</v>
      </c>
      <c r="BO493" s="6"/>
      <c r="BP493">
        <v>0</v>
      </c>
    </row>
    <row r="494" spans="1:68">
      <c r="A494">
        <v>29.7</v>
      </c>
      <c r="AH494" s="6"/>
      <c r="AI494" s="33">
        <v>16.100000000000001</v>
      </c>
      <c r="BO494" s="6"/>
      <c r="BP494">
        <v>0</v>
      </c>
    </row>
    <row r="495" spans="1:68">
      <c r="A495">
        <v>29.7</v>
      </c>
      <c r="AH495" s="6"/>
      <c r="AI495" s="33">
        <v>16.100000000000001</v>
      </c>
      <c r="BO495" s="6"/>
      <c r="BP495">
        <v>0</v>
      </c>
    </row>
    <row r="496" spans="1:68">
      <c r="A496">
        <v>29.7</v>
      </c>
      <c r="AH496" s="6"/>
      <c r="AI496" s="33">
        <v>16.7</v>
      </c>
      <c r="BO496" s="6"/>
      <c r="BP496">
        <v>0</v>
      </c>
    </row>
    <row r="497" spans="1:68">
      <c r="A497">
        <v>29.7</v>
      </c>
      <c r="AH497" s="6"/>
      <c r="AI497" s="33">
        <v>16.7</v>
      </c>
      <c r="BO497" s="6"/>
      <c r="BP497">
        <v>0</v>
      </c>
    </row>
    <row r="498" spans="1:68">
      <c r="A498">
        <v>29.7</v>
      </c>
      <c r="AH498" s="6"/>
      <c r="AI498" s="33">
        <v>17.399999999999999</v>
      </c>
      <c r="BO498" s="6"/>
      <c r="BP498">
        <v>0</v>
      </c>
    </row>
    <row r="499" spans="1:68">
      <c r="A499">
        <v>29.7</v>
      </c>
      <c r="AH499" s="6"/>
      <c r="AI499" s="33">
        <v>17.8</v>
      </c>
      <c r="BO499" s="6"/>
      <c r="BP499">
        <v>0</v>
      </c>
    </row>
    <row r="500" spans="1:68">
      <c r="A500">
        <v>29.7</v>
      </c>
      <c r="AH500" s="6"/>
      <c r="AI500" s="33">
        <v>17.8</v>
      </c>
      <c r="BO500" s="6"/>
      <c r="BP500">
        <v>0</v>
      </c>
    </row>
    <row r="501" spans="1:68">
      <c r="A501">
        <v>29.7</v>
      </c>
      <c r="AH501" s="6"/>
      <c r="AI501" s="33">
        <v>18</v>
      </c>
      <c r="BO501" s="6"/>
      <c r="BP501">
        <v>0</v>
      </c>
    </row>
    <row r="502" spans="1:68">
      <c r="A502">
        <v>29.7</v>
      </c>
      <c r="AH502" s="6"/>
      <c r="AI502" s="33">
        <v>18</v>
      </c>
      <c r="BO502" s="6"/>
      <c r="BP502">
        <v>0</v>
      </c>
    </row>
    <row r="503" spans="1:68">
      <c r="A503">
        <v>29.7</v>
      </c>
      <c r="AH503" s="6"/>
      <c r="AI503" s="33">
        <v>18</v>
      </c>
      <c r="BO503" s="6"/>
      <c r="BP503">
        <v>0</v>
      </c>
    </row>
    <row r="504" spans="1:68">
      <c r="A504">
        <v>29.7</v>
      </c>
      <c r="AH504" s="6"/>
      <c r="AI504" s="33">
        <v>18.75</v>
      </c>
      <c r="BO504" s="6"/>
      <c r="BP504">
        <v>0</v>
      </c>
    </row>
    <row r="505" spans="1:68">
      <c r="A505">
        <v>29.7</v>
      </c>
      <c r="AH505" s="6"/>
      <c r="AI505" s="33">
        <v>18.75</v>
      </c>
      <c r="BO505" s="6"/>
      <c r="BP505">
        <v>0</v>
      </c>
    </row>
    <row r="506" spans="1:68">
      <c r="A506">
        <v>29.7</v>
      </c>
      <c r="AH506" s="6"/>
      <c r="AI506" s="33">
        <v>18.75</v>
      </c>
      <c r="BO506" s="6"/>
      <c r="BP506">
        <v>0</v>
      </c>
    </row>
    <row r="507" spans="1:68">
      <c r="A507">
        <v>29.7</v>
      </c>
      <c r="AH507" s="6"/>
      <c r="AI507" s="33">
        <v>18.787500000000001</v>
      </c>
      <c r="BO507" s="6"/>
      <c r="BP507">
        <v>0</v>
      </c>
    </row>
    <row r="508" spans="1:68">
      <c r="A508">
        <v>29.7</v>
      </c>
      <c r="AH508" s="6"/>
      <c r="AI508" s="33">
        <v>18.787500000000001</v>
      </c>
      <c r="BO508" s="6"/>
      <c r="BP508">
        <v>0</v>
      </c>
    </row>
    <row r="509" spans="1:68">
      <c r="A509">
        <v>29.7</v>
      </c>
      <c r="AH509" s="6"/>
      <c r="AI509" s="33">
        <v>19.258299999999998</v>
      </c>
      <c r="BO509" s="6"/>
      <c r="BP509">
        <v>0</v>
      </c>
    </row>
    <row r="510" spans="1:68">
      <c r="A510">
        <v>29.7</v>
      </c>
      <c r="AH510" s="6"/>
      <c r="AI510" s="33">
        <v>19.258299999999998</v>
      </c>
      <c r="BO510" s="6"/>
      <c r="BP510">
        <v>0</v>
      </c>
    </row>
    <row r="511" spans="1:68">
      <c r="A511">
        <v>29.7</v>
      </c>
      <c r="AH511" s="6"/>
      <c r="AI511" s="33">
        <v>19.258299999999998</v>
      </c>
      <c r="BO511" s="6"/>
      <c r="BP511">
        <v>0</v>
      </c>
    </row>
    <row r="512" spans="1:68">
      <c r="A512">
        <v>29.7</v>
      </c>
      <c r="AH512" s="6"/>
      <c r="AI512" s="33">
        <v>19.258299999999998</v>
      </c>
      <c r="BO512" s="6"/>
      <c r="BP512">
        <v>0</v>
      </c>
    </row>
    <row r="513" spans="1:68">
      <c r="A513">
        <v>29.7</v>
      </c>
      <c r="AH513" s="6"/>
      <c r="AI513" s="33">
        <v>19.5</v>
      </c>
      <c r="BO513" s="6"/>
      <c r="BP513">
        <v>0</v>
      </c>
    </row>
    <row r="514" spans="1:68">
      <c r="A514">
        <v>29.7</v>
      </c>
      <c r="AH514" s="6"/>
      <c r="AI514" s="33">
        <v>19.5</v>
      </c>
      <c r="BO514" s="6"/>
      <c r="BP514">
        <v>0</v>
      </c>
    </row>
    <row r="515" spans="1:68">
      <c r="A515">
        <v>29.7</v>
      </c>
      <c r="AH515" s="6"/>
      <c r="AI515" s="33">
        <v>19.966699999999999</v>
      </c>
      <c r="BO515" s="6"/>
      <c r="BP515">
        <v>0</v>
      </c>
    </row>
    <row r="516" spans="1:68">
      <c r="A516">
        <v>29.7</v>
      </c>
      <c r="AH516" s="6"/>
      <c r="AI516" s="33">
        <v>19.966699999999999</v>
      </c>
      <c r="BO516" s="6"/>
      <c r="BP516">
        <v>0</v>
      </c>
    </row>
    <row r="517" spans="1:68">
      <c r="A517">
        <v>29.7</v>
      </c>
      <c r="AH517" s="6"/>
      <c r="AI517" s="33">
        <v>20.212499999999999</v>
      </c>
      <c r="BO517" s="6"/>
      <c r="BP517">
        <v>0</v>
      </c>
    </row>
    <row r="518" spans="1:68">
      <c r="A518">
        <v>29.7</v>
      </c>
      <c r="AH518" s="6"/>
      <c r="AI518" s="33">
        <v>20.212499999999999</v>
      </c>
      <c r="BO518" s="6"/>
      <c r="BP518">
        <v>0</v>
      </c>
    </row>
    <row r="519" spans="1:68">
      <c r="A519">
        <v>29.7</v>
      </c>
      <c r="AH519" s="6"/>
      <c r="AI519" s="33">
        <v>20.25</v>
      </c>
      <c r="BO519" s="6"/>
      <c r="BP519">
        <v>0</v>
      </c>
    </row>
    <row r="520" spans="1:68">
      <c r="A520">
        <v>29.7</v>
      </c>
      <c r="AH520" s="6"/>
      <c r="AI520" s="33">
        <v>20.25</v>
      </c>
      <c r="BO520" s="6"/>
      <c r="BP520">
        <v>0</v>
      </c>
    </row>
    <row r="521" spans="1:68">
      <c r="A521">
        <v>29.7</v>
      </c>
      <c r="AH521" s="6"/>
      <c r="AI521" s="33">
        <v>20.524999999999999</v>
      </c>
      <c r="BO521" s="6"/>
      <c r="BP521">
        <v>0</v>
      </c>
    </row>
    <row r="522" spans="1:68">
      <c r="A522">
        <v>29.7</v>
      </c>
      <c r="AH522" s="6"/>
      <c r="AI522" s="33">
        <v>20.524999999999999</v>
      </c>
      <c r="BO522" s="6"/>
      <c r="BP522">
        <v>0</v>
      </c>
    </row>
    <row r="523" spans="1:68">
      <c r="A523">
        <v>29.7</v>
      </c>
      <c r="AH523" s="6"/>
      <c r="AI523" s="33">
        <v>20.524999999999999</v>
      </c>
      <c r="BO523" s="6"/>
      <c r="BP523">
        <v>0</v>
      </c>
    </row>
    <row r="524" spans="1:68">
      <c r="A524">
        <v>29.7</v>
      </c>
      <c r="AH524" s="6"/>
      <c r="AI524" s="33">
        <v>20.574999999999999</v>
      </c>
      <c r="BO524" s="6"/>
      <c r="BP524">
        <v>0</v>
      </c>
    </row>
    <row r="525" spans="1:68">
      <c r="A525">
        <v>29.7</v>
      </c>
      <c r="AH525" s="6"/>
      <c r="AI525" s="33">
        <v>20.574999999999999</v>
      </c>
      <c r="BO525" s="6"/>
      <c r="BP525">
        <v>0</v>
      </c>
    </row>
    <row r="526" spans="1:68">
      <c r="A526">
        <v>29.7</v>
      </c>
      <c r="AH526" s="6"/>
      <c r="AI526" s="33">
        <v>21</v>
      </c>
      <c r="BO526" s="6"/>
      <c r="BP526">
        <v>0</v>
      </c>
    </row>
    <row r="527" spans="1:68">
      <c r="A527">
        <v>29.7</v>
      </c>
      <c r="AH527" s="6"/>
      <c r="AI527" s="33">
        <v>21</v>
      </c>
      <c r="BO527" s="6"/>
      <c r="BP527">
        <v>0</v>
      </c>
    </row>
    <row r="528" spans="1:68">
      <c r="A528">
        <v>29.7</v>
      </c>
      <c r="AH528" s="6"/>
      <c r="AI528" s="33">
        <v>21</v>
      </c>
      <c r="BO528" s="6"/>
      <c r="BP528">
        <v>0</v>
      </c>
    </row>
    <row r="529" spans="1:68">
      <c r="A529">
        <v>29.7</v>
      </c>
      <c r="AH529" s="6"/>
      <c r="AI529" s="33">
        <v>21</v>
      </c>
      <c r="BO529" s="6"/>
      <c r="BP529">
        <v>0</v>
      </c>
    </row>
    <row r="530" spans="1:68">
      <c r="A530">
        <v>29.7</v>
      </c>
      <c r="AH530" s="6"/>
      <c r="AI530" s="33">
        <v>21</v>
      </c>
      <c r="BO530" s="6"/>
      <c r="BP530">
        <v>0</v>
      </c>
    </row>
    <row r="531" spans="1:68">
      <c r="A531">
        <v>29.7</v>
      </c>
      <c r="AH531" s="6"/>
      <c r="AI531" s="33">
        <v>21</v>
      </c>
      <c r="BO531" s="6"/>
      <c r="BP531">
        <v>0</v>
      </c>
    </row>
    <row r="532" spans="1:68">
      <c r="A532">
        <v>29.7</v>
      </c>
      <c r="AH532" s="6"/>
      <c r="AI532" s="33">
        <v>21.074999999999999</v>
      </c>
      <c r="BO532" s="6"/>
      <c r="BP532">
        <v>0</v>
      </c>
    </row>
    <row r="533" spans="1:68">
      <c r="A533">
        <v>29.7</v>
      </c>
      <c r="AH533" s="6"/>
      <c r="AI533" s="33">
        <v>21.074999999999999</v>
      </c>
      <c r="BO533" s="6"/>
      <c r="BP533">
        <v>0</v>
      </c>
    </row>
    <row r="534" spans="1:68">
      <c r="A534">
        <v>29.7</v>
      </c>
      <c r="AH534" s="6"/>
      <c r="AI534" s="33">
        <v>21.074999999999999</v>
      </c>
      <c r="BO534" s="6"/>
      <c r="BP534">
        <v>0</v>
      </c>
    </row>
    <row r="535" spans="1:68">
      <c r="A535">
        <v>29.7</v>
      </c>
      <c r="AH535" s="6"/>
      <c r="AI535" s="33">
        <v>21.074999999999999</v>
      </c>
      <c r="BO535" s="6"/>
      <c r="BP535">
        <v>0</v>
      </c>
    </row>
    <row r="536" spans="1:68">
      <c r="A536">
        <v>29.7</v>
      </c>
      <c r="AH536" s="6"/>
      <c r="AI536" s="33">
        <v>21.679200000000002</v>
      </c>
      <c r="BO536" s="6"/>
      <c r="BP536">
        <v>0</v>
      </c>
    </row>
    <row r="537" spans="1:68">
      <c r="A537">
        <v>29.7</v>
      </c>
      <c r="AH537" s="6"/>
      <c r="AI537" s="33">
        <v>22.024999999999999</v>
      </c>
      <c r="BO537" s="6"/>
      <c r="BP537">
        <v>0</v>
      </c>
    </row>
    <row r="538" spans="1:68">
      <c r="A538">
        <v>29.7</v>
      </c>
      <c r="AH538" s="6"/>
      <c r="AI538" s="33">
        <v>22.3583</v>
      </c>
      <c r="BO538" s="6"/>
      <c r="BP538">
        <v>0</v>
      </c>
    </row>
    <row r="539" spans="1:68">
      <c r="A539">
        <v>29.7</v>
      </c>
      <c r="AH539" s="6"/>
      <c r="AI539" s="33">
        <v>22.3583</v>
      </c>
      <c r="BO539" s="6"/>
      <c r="BP539">
        <v>0</v>
      </c>
    </row>
    <row r="540" spans="1:68">
      <c r="A540">
        <v>29.7</v>
      </c>
      <c r="AH540" s="6"/>
      <c r="AI540" s="33">
        <v>22.524999999999999</v>
      </c>
      <c r="BO540" s="6"/>
      <c r="BP540">
        <v>0</v>
      </c>
    </row>
    <row r="541" spans="1:68">
      <c r="A541">
        <v>29.7</v>
      </c>
      <c r="AH541" s="6"/>
      <c r="AI541" s="33">
        <v>23</v>
      </c>
      <c r="BO541" s="6"/>
      <c r="BP541">
        <v>0</v>
      </c>
    </row>
    <row r="542" spans="1:68">
      <c r="A542">
        <v>29.7</v>
      </c>
      <c r="AH542" s="6"/>
      <c r="AI542" s="33">
        <v>23</v>
      </c>
      <c r="BO542" s="6"/>
      <c r="BP542">
        <v>0</v>
      </c>
    </row>
    <row r="543" spans="1:68">
      <c r="A543">
        <v>29.7</v>
      </c>
      <c r="AH543" s="6"/>
      <c r="AI543" s="33">
        <v>23</v>
      </c>
      <c r="BO543" s="6"/>
      <c r="BP543">
        <v>0</v>
      </c>
    </row>
    <row r="544" spans="1:68">
      <c r="A544">
        <v>29.7</v>
      </c>
      <c r="AH544" s="6"/>
      <c r="AI544" s="33">
        <v>23</v>
      </c>
      <c r="BO544" s="6"/>
      <c r="BP544">
        <v>0</v>
      </c>
    </row>
    <row r="545" spans="1:68">
      <c r="A545">
        <v>29.7</v>
      </c>
      <c r="AH545" s="6"/>
      <c r="AI545" s="33">
        <v>23.25</v>
      </c>
      <c r="BO545" s="6"/>
      <c r="BP545">
        <v>0</v>
      </c>
    </row>
    <row r="546" spans="1:68">
      <c r="A546">
        <v>29.7</v>
      </c>
      <c r="AH546" s="6"/>
      <c r="AI546" s="33">
        <v>23.25</v>
      </c>
      <c r="BO546" s="6"/>
      <c r="BP546">
        <v>0</v>
      </c>
    </row>
    <row r="547" spans="1:68">
      <c r="A547">
        <v>29.7</v>
      </c>
      <c r="AH547" s="6"/>
      <c r="AI547" s="33">
        <v>23.45</v>
      </c>
      <c r="BO547" s="6"/>
      <c r="BP547">
        <v>0</v>
      </c>
    </row>
    <row r="548" spans="1:68">
      <c r="A548">
        <v>29.7</v>
      </c>
      <c r="AH548" s="6"/>
      <c r="AI548" s="33">
        <v>23.45</v>
      </c>
      <c r="BO548" s="6"/>
      <c r="BP548">
        <v>0</v>
      </c>
    </row>
    <row r="549" spans="1:68">
      <c r="A549">
        <v>29.7</v>
      </c>
      <c r="AH549" s="6"/>
      <c r="AI549" s="33">
        <v>24</v>
      </c>
      <c r="BO549" s="6"/>
      <c r="BP549">
        <v>0</v>
      </c>
    </row>
    <row r="550" spans="1:68">
      <c r="A550">
        <v>29.7</v>
      </c>
      <c r="AH550" s="6"/>
      <c r="AI550" s="33">
        <v>24</v>
      </c>
      <c r="BO550" s="6"/>
      <c r="BP550">
        <v>0</v>
      </c>
    </row>
    <row r="551" spans="1:68">
      <c r="A551">
        <v>29.7</v>
      </c>
      <c r="AH551" s="6"/>
      <c r="AI551" s="33">
        <v>24.15</v>
      </c>
      <c r="BO551" s="6"/>
      <c r="BP551">
        <v>0</v>
      </c>
    </row>
    <row r="552" spans="1:68">
      <c r="A552">
        <v>29.7</v>
      </c>
      <c r="AH552" s="6"/>
      <c r="AI552" s="33">
        <v>24.15</v>
      </c>
      <c r="BO552" s="6"/>
      <c r="BP552">
        <v>0</v>
      </c>
    </row>
    <row r="553" spans="1:68">
      <c r="A553">
        <v>29.7</v>
      </c>
      <c r="AH553" s="6"/>
      <c r="AI553" s="33">
        <v>24.15</v>
      </c>
      <c r="BO553" s="6"/>
      <c r="BP553">
        <v>0</v>
      </c>
    </row>
    <row r="554" spans="1:68">
      <c r="A554">
        <v>29.7</v>
      </c>
      <c r="AH554" s="6"/>
      <c r="AI554" s="33">
        <v>24.15</v>
      </c>
      <c r="BO554" s="6"/>
      <c r="BP554">
        <v>0</v>
      </c>
    </row>
    <row r="555" spans="1:68">
      <c r="A555">
        <v>29.7</v>
      </c>
      <c r="AH555" s="6"/>
      <c r="AI555" s="33">
        <v>24.15</v>
      </c>
      <c r="BO555" s="6"/>
      <c r="BP555">
        <v>0</v>
      </c>
    </row>
    <row r="556" spans="1:68">
      <c r="A556">
        <v>29.7</v>
      </c>
      <c r="AH556" s="6"/>
      <c r="AI556" s="33">
        <v>24.15</v>
      </c>
      <c r="BO556" s="6"/>
      <c r="BP556">
        <v>0</v>
      </c>
    </row>
    <row r="557" spans="1:68">
      <c r="A557">
        <v>29.7</v>
      </c>
      <c r="AH557" s="6"/>
      <c r="AI557" s="33">
        <v>24.15</v>
      </c>
      <c r="BO557" s="6"/>
      <c r="BP557">
        <v>0</v>
      </c>
    </row>
    <row r="558" spans="1:68">
      <c r="A558">
        <v>29.7</v>
      </c>
      <c r="AH558" s="6"/>
      <c r="AI558" s="33">
        <v>24.15</v>
      </c>
      <c r="BO558" s="6"/>
      <c r="BP558">
        <v>0</v>
      </c>
    </row>
    <row r="559" spans="1:68">
      <c r="A559">
        <v>29.7</v>
      </c>
      <c r="AH559" s="6"/>
      <c r="AI559" s="33">
        <v>25.466699999999999</v>
      </c>
      <c r="BO559" s="6"/>
      <c r="BP559">
        <v>0</v>
      </c>
    </row>
    <row r="560" spans="1:68">
      <c r="A560">
        <v>29.7</v>
      </c>
      <c r="AH560" s="6"/>
      <c r="AI560" s="33">
        <v>25.466699999999999</v>
      </c>
      <c r="BO560" s="6"/>
      <c r="BP560">
        <v>0</v>
      </c>
    </row>
    <row r="561" spans="1:68">
      <c r="A561">
        <v>29.7</v>
      </c>
      <c r="AH561" s="6"/>
      <c r="AI561" s="33">
        <v>25.466699999999999</v>
      </c>
      <c r="BO561" s="6"/>
      <c r="BP561">
        <v>0</v>
      </c>
    </row>
    <row r="562" spans="1:68">
      <c r="A562">
        <v>29.7</v>
      </c>
      <c r="AH562" s="6"/>
      <c r="AI562" s="33">
        <v>25.466699999999999</v>
      </c>
      <c r="BO562" s="6"/>
      <c r="BP562">
        <v>0</v>
      </c>
    </row>
    <row r="563" spans="1:68">
      <c r="A563">
        <v>30</v>
      </c>
      <c r="AH563" s="6"/>
      <c r="AI563" s="33">
        <v>25.587499999999999</v>
      </c>
      <c r="BO563" s="6"/>
      <c r="BP563">
        <v>0</v>
      </c>
    </row>
    <row r="564" spans="1:68">
      <c r="A564">
        <v>30</v>
      </c>
      <c r="AH564" s="6"/>
      <c r="AI564" s="33">
        <v>25.925000000000001</v>
      </c>
      <c r="BO564" s="6"/>
      <c r="BP564">
        <v>0</v>
      </c>
    </row>
    <row r="565" spans="1:68">
      <c r="A565">
        <v>30</v>
      </c>
      <c r="AH565" s="6"/>
      <c r="AI565" s="33">
        <v>25.929200000000002</v>
      </c>
      <c r="BO565" s="6"/>
      <c r="BP565">
        <v>0</v>
      </c>
    </row>
    <row r="566" spans="1:68">
      <c r="A566">
        <v>30</v>
      </c>
      <c r="AH566" s="6"/>
      <c r="AI566" s="33">
        <v>25.929200000000002</v>
      </c>
      <c r="BO566" s="6"/>
      <c r="BP566">
        <v>0</v>
      </c>
    </row>
    <row r="567" spans="1:68">
      <c r="A567">
        <v>30</v>
      </c>
      <c r="AH567" s="6"/>
      <c r="AI567" s="33">
        <v>26</v>
      </c>
      <c r="BO567" s="6"/>
      <c r="BP567">
        <v>0</v>
      </c>
    </row>
    <row r="568" spans="1:68">
      <c r="A568">
        <v>30</v>
      </c>
      <c r="AH568" s="6"/>
      <c r="AI568" s="33">
        <v>26</v>
      </c>
      <c r="BO568" s="6"/>
      <c r="BP568">
        <v>0</v>
      </c>
    </row>
    <row r="569" spans="1:68">
      <c r="A569">
        <v>30</v>
      </c>
      <c r="AH569" s="6"/>
      <c r="AI569" s="33">
        <v>26</v>
      </c>
      <c r="BO569" s="6"/>
      <c r="BP569">
        <v>0</v>
      </c>
    </row>
    <row r="570" spans="1:68">
      <c r="A570">
        <v>30</v>
      </c>
      <c r="AH570" s="6"/>
      <c r="AI570" s="33">
        <v>26</v>
      </c>
      <c r="BO570" s="6"/>
      <c r="BP570">
        <v>0</v>
      </c>
    </row>
    <row r="571" spans="1:68">
      <c r="A571">
        <v>30</v>
      </c>
      <c r="AH571" s="6"/>
      <c r="AI571" s="33">
        <v>26</v>
      </c>
      <c r="BO571" s="6"/>
      <c r="BP571">
        <v>0</v>
      </c>
    </row>
    <row r="572" spans="1:68">
      <c r="A572">
        <v>30</v>
      </c>
      <c r="AH572" s="6"/>
      <c r="AI572" s="33">
        <v>26</v>
      </c>
      <c r="BO572" s="6"/>
      <c r="BP572">
        <v>0</v>
      </c>
    </row>
    <row r="573" spans="1:68">
      <c r="A573">
        <v>30</v>
      </c>
      <c r="AH573" s="6"/>
      <c r="AI573" s="33">
        <v>26</v>
      </c>
      <c r="BO573" s="6"/>
      <c r="BP573">
        <v>0</v>
      </c>
    </row>
    <row r="574" spans="1:68">
      <c r="A574">
        <v>30</v>
      </c>
      <c r="AH574" s="6"/>
      <c r="AI574" s="33">
        <v>26</v>
      </c>
      <c r="BO574" s="6"/>
      <c r="BP574">
        <v>0</v>
      </c>
    </row>
    <row r="575" spans="1:68">
      <c r="A575">
        <v>30</v>
      </c>
      <c r="AH575" s="6"/>
      <c r="AI575" s="33">
        <v>26</v>
      </c>
      <c r="BO575" s="6"/>
      <c r="BP575">
        <v>0</v>
      </c>
    </row>
    <row r="576" spans="1:68">
      <c r="A576">
        <v>30</v>
      </c>
      <c r="AH576" s="6"/>
      <c r="AI576" s="33">
        <v>26</v>
      </c>
      <c r="BO576" s="6"/>
      <c r="BP576">
        <v>0</v>
      </c>
    </row>
    <row r="577" spans="1:68">
      <c r="A577">
        <v>30</v>
      </c>
      <c r="AH577" s="6"/>
      <c r="AI577" s="33">
        <v>26</v>
      </c>
      <c r="BO577" s="6"/>
      <c r="BP577">
        <v>0</v>
      </c>
    </row>
    <row r="578" spans="1:68">
      <c r="A578">
        <v>30</v>
      </c>
      <c r="AH578" s="6"/>
      <c r="AI578" s="33">
        <v>26</v>
      </c>
      <c r="BO578" s="6"/>
      <c r="BP578">
        <v>0</v>
      </c>
    </row>
    <row r="579" spans="1:68">
      <c r="A579">
        <v>30</v>
      </c>
      <c r="AH579" s="6"/>
      <c r="AI579" s="33">
        <v>26</v>
      </c>
      <c r="BO579" s="6"/>
      <c r="BP579">
        <v>0</v>
      </c>
    </row>
    <row r="580" spans="1:68">
      <c r="A580">
        <v>30</v>
      </c>
      <c r="AH580" s="6"/>
      <c r="AI580" s="33">
        <v>26</v>
      </c>
      <c r="BO580" s="6"/>
      <c r="BP580">
        <v>0</v>
      </c>
    </row>
    <row r="581" spans="1:68">
      <c r="A581">
        <v>30</v>
      </c>
      <c r="AH581" s="6"/>
      <c r="AI581" s="33">
        <v>26</v>
      </c>
      <c r="BO581" s="6"/>
      <c r="BP581">
        <v>0</v>
      </c>
    </row>
    <row r="582" spans="1:68">
      <c r="A582">
        <v>30</v>
      </c>
      <c r="AH582" s="6"/>
      <c r="AI582" s="33">
        <v>26</v>
      </c>
      <c r="BO582" s="6"/>
      <c r="BP582">
        <v>0</v>
      </c>
    </row>
    <row r="583" spans="1:68">
      <c r="A583">
        <v>30</v>
      </c>
      <c r="AH583" s="6"/>
      <c r="AI583" s="33">
        <v>26</v>
      </c>
      <c r="BO583" s="6"/>
      <c r="BP583">
        <v>0</v>
      </c>
    </row>
    <row r="584" spans="1:68">
      <c r="A584">
        <v>30</v>
      </c>
      <c r="AH584" s="6"/>
      <c r="AI584" s="33">
        <v>26</v>
      </c>
      <c r="BO584" s="6"/>
      <c r="BP584">
        <v>0</v>
      </c>
    </row>
    <row r="585" spans="1:68">
      <c r="A585">
        <v>30</v>
      </c>
      <c r="AH585" s="6"/>
      <c r="AI585" s="33">
        <v>26</v>
      </c>
      <c r="BO585" s="6"/>
      <c r="BP585">
        <v>0</v>
      </c>
    </row>
    <row r="586" spans="1:68">
      <c r="A586">
        <v>30</v>
      </c>
      <c r="AH586" s="6"/>
      <c r="AI586" s="33">
        <v>26</v>
      </c>
      <c r="BO586" s="6"/>
      <c r="BP586">
        <v>0</v>
      </c>
    </row>
    <row r="587" spans="1:68">
      <c r="A587">
        <v>30</v>
      </c>
      <c r="AH587" s="6"/>
      <c r="AI587" s="33">
        <v>26</v>
      </c>
      <c r="BO587" s="6"/>
      <c r="BP587">
        <v>0</v>
      </c>
    </row>
    <row r="588" spans="1:68">
      <c r="A588">
        <v>30.5</v>
      </c>
      <c r="AH588" s="6"/>
      <c r="AI588" s="33">
        <v>26</v>
      </c>
      <c r="BO588" s="6"/>
      <c r="BP588">
        <v>0</v>
      </c>
    </row>
    <row r="589" spans="1:68">
      <c r="A589">
        <v>30.5</v>
      </c>
      <c r="AH589" s="6"/>
      <c r="AI589" s="33">
        <v>26</v>
      </c>
      <c r="BO589" s="6"/>
      <c r="BP589">
        <v>0</v>
      </c>
    </row>
    <row r="590" spans="1:68">
      <c r="A590">
        <v>31</v>
      </c>
      <c r="AH590" s="6"/>
      <c r="AI590" s="33">
        <v>26</v>
      </c>
      <c r="BO590" s="6"/>
      <c r="BP590">
        <v>0</v>
      </c>
    </row>
    <row r="591" spans="1:68">
      <c r="A591">
        <v>31</v>
      </c>
      <c r="AH591" s="6"/>
      <c r="AI591" s="33">
        <v>26</v>
      </c>
      <c r="BO591" s="6"/>
      <c r="BP591">
        <v>0</v>
      </c>
    </row>
    <row r="592" spans="1:68">
      <c r="A592">
        <v>31</v>
      </c>
      <c r="AH592" s="6"/>
      <c r="AI592" s="33">
        <v>26</v>
      </c>
      <c r="BO592" s="6"/>
      <c r="BP592">
        <v>0</v>
      </c>
    </row>
    <row r="593" spans="1:68">
      <c r="A593">
        <v>31</v>
      </c>
      <c r="AH593" s="6"/>
      <c r="AI593" s="33">
        <v>26</v>
      </c>
      <c r="BO593" s="6"/>
      <c r="BP593">
        <v>0</v>
      </c>
    </row>
    <row r="594" spans="1:68">
      <c r="A594">
        <v>31</v>
      </c>
      <c r="AH594" s="6"/>
      <c r="AI594" s="33">
        <v>26</v>
      </c>
      <c r="BO594" s="6"/>
      <c r="BP594">
        <v>0</v>
      </c>
    </row>
    <row r="595" spans="1:68">
      <c r="A595">
        <v>31</v>
      </c>
      <c r="AH595" s="6"/>
      <c r="AI595" s="33">
        <v>26</v>
      </c>
      <c r="BO595" s="6"/>
      <c r="BP595">
        <v>0</v>
      </c>
    </row>
    <row r="596" spans="1:68">
      <c r="A596">
        <v>31</v>
      </c>
      <c r="AH596" s="6"/>
      <c r="AI596" s="33">
        <v>26</v>
      </c>
      <c r="BO596" s="6"/>
      <c r="BP596">
        <v>0</v>
      </c>
    </row>
    <row r="597" spans="1:68">
      <c r="A597">
        <v>31</v>
      </c>
      <c r="AH597" s="6"/>
      <c r="AI597" s="33">
        <v>26</v>
      </c>
      <c r="BO597" s="6"/>
      <c r="BP597">
        <v>0</v>
      </c>
    </row>
    <row r="598" spans="1:68">
      <c r="A598">
        <v>31</v>
      </c>
      <c r="AH598" s="6"/>
      <c r="AI598" s="33">
        <v>26.25</v>
      </c>
      <c r="BO598" s="6"/>
      <c r="BP598">
        <v>0</v>
      </c>
    </row>
    <row r="599" spans="1:68">
      <c r="A599">
        <v>31</v>
      </c>
      <c r="AH599" s="6"/>
      <c r="AI599" s="33">
        <v>26.25</v>
      </c>
      <c r="BO599" s="6"/>
      <c r="BP599">
        <v>0</v>
      </c>
    </row>
    <row r="600" spans="1:68">
      <c r="A600">
        <v>31</v>
      </c>
      <c r="AH600" s="6"/>
      <c r="AI600" s="33">
        <v>26.25</v>
      </c>
      <c r="BO600" s="6"/>
      <c r="BP600">
        <v>0</v>
      </c>
    </row>
    <row r="601" spans="1:68">
      <c r="A601">
        <v>31</v>
      </c>
      <c r="AH601" s="6"/>
      <c r="AI601" s="33">
        <v>26.25</v>
      </c>
      <c r="BO601" s="6"/>
      <c r="BP601">
        <v>0</v>
      </c>
    </row>
    <row r="602" spans="1:68">
      <c r="A602">
        <v>31</v>
      </c>
      <c r="AH602" s="6"/>
      <c r="AI602" s="33">
        <v>26.25</v>
      </c>
      <c r="BO602" s="6"/>
      <c r="BP602">
        <v>0</v>
      </c>
    </row>
    <row r="603" spans="1:68">
      <c r="A603">
        <v>31</v>
      </c>
      <c r="AH603" s="6"/>
      <c r="AI603" s="33">
        <v>26.25</v>
      </c>
      <c r="BO603" s="6"/>
      <c r="BP603">
        <v>0</v>
      </c>
    </row>
    <row r="604" spans="1:68">
      <c r="A604">
        <v>31</v>
      </c>
      <c r="AH604" s="6"/>
      <c r="AI604" s="33">
        <v>26.283300000000001</v>
      </c>
      <c r="BO604" s="6"/>
      <c r="BP604">
        <v>0</v>
      </c>
    </row>
    <row r="605" spans="1:68">
      <c r="A605">
        <v>31</v>
      </c>
      <c r="AH605" s="6"/>
      <c r="AI605" s="33">
        <v>26.287500000000001</v>
      </c>
      <c r="BO605" s="6"/>
      <c r="BP605">
        <v>0</v>
      </c>
    </row>
    <row r="606" spans="1:68">
      <c r="A606">
        <v>31</v>
      </c>
      <c r="AH606" s="6"/>
      <c r="AI606" s="33">
        <v>26.287500000000001</v>
      </c>
      <c r="BO606" s="6"/>
      <c r="BP606">
        <v>0</v>
      </c>
    </row>
    <row r="607" spans="1:68">
      <c r="A607">
        <v>32</v>
      </c>
      <c r="AH607" s="6"/>
      <c r="AI607" s="33">
        <v>26.287500000000001</v>
      </c>
      <c r="BO607" s="6"/>
      <c r="BP607">
        <v>0</v>
      </c>
    </row>
    <row r="608" spans="1:68">
      <c r="A608">
        <v>32</v>
      </c>
      <c r="AH608" s="6"/>
      <c r="AI608" s="33">
        <v>26.387499999999999</v>
      </c>
      <c r="BO608" s="6"/>
      <c r="BP608">
        <v>1</v>
      </c>
    </row>
    <row r="609" spans="1:68">
      <c r="A609">
        <v>32</v>
      </c>
      <c r="AH609" s="6"/>
      <c r="AI609" s="33">
        <v>26.55</v>
      </c>
      <c r="BO609" s="6"/>
      <c r="BP609">
        <v>1</v>
      </c>
    </row>
    <row r="610" spans="1:68">
      <c r="A610">
        <v>32</v>
      </c>
      <c r="AH610" s="6"/>
      <c r="AI610" s="33">
        <v>26.55</v>
      </c>
      <c r="BO610" s="6"/>
      <c r="BP610">
        <v>1</v>
      </c>
    </row>
    <row r="611" spans="1:68">
      <c r="A611">
        <v>32</v>
      </c>
      <c r="AH611" s="6"/>
      <c r="AI611" s="33">
        <v>26.55</v>
      </c>
      <c r="BO611" s="6"/>
      <c r="BP611">
        <v>1</v>
      </c>
    </row>
    <row r="612" spans="1:68">
      <c r="A612">
        <v>32</v>
      </c>
      <c r="AH612" s="6"/>
      <c r="AI612" s="33">
        <v>26.55</v>
      </c>
      <c r="BO612" s="6"/>
      <c r="BP612">
        <v>1</v>
      </c>
    </row>
    <row r="613" spans="1:68">
      <c r="A613">
        <v>32</v>
      </c>
      <c r="AH613" s="6"/>
      <c r="AI613" s="33">
        <v>26.55</v>
      </c>
      <c r="BO613" s="6"/>
      <c r="BP613">
        <v>1</v>
      </c>
    </row>
    <row r="614" spans="1:68">
      <c r="A614">
        <v>32</v>
      </c>
      <c r="AH614" s="6"/>
      <c r="AI614" s="33">
        <v>26.55</v>
      </c>
      <c r="BO614" s="6"/>
      <c r="BP614">
        <v>1</v>
      </c>
    </row>
    <row r="615" spans="1:68">
      <c r="A615">
        <v>32</v>
      </c>
      <c r="AH615" s="6"/>
      <c r="AI615" s="33">
        <v>26.55</v>
      </c>
      <c r="BO615" s="6"/>
      <c r="BP615">
        <v>1</v>
      </c>
    </row>
    <row r="616" spans="1:68">
      <c r="A616">
        <v>32</v>
      </c>
      <c r="AH616" s="6"/>
      <c r="AI616" s="33">
        <v>26.55</v>
      </c>
      <c r="BO616" s="6"/>
      <c r="BP616">
        <v>1</v>
      </c>
    </row>
    <row r="617" spans="1:68">
      <c r="A617">
        <v>32</v>
      </c>
      <c r="AH617" s="6"/>
      <c r="AI617" s="33">
        <v>26.55</v>
      </c>
      <c r="BO617" s="6"/>
      <c r="BP617">
        <v>1</v>
      </c>
    </row>
    <row r="618" spans="1:68">
      <c r="A618">
        <v>32</v>
      </c>
      <c r="AH618" s="6"/>
      <c r="AI618" s="33">
        <v>26.55</v>
      </c>
      <c r="BO618" s="6"/>
      <c r="BP618">
        <v>1</v>
      </c>
    </row>
    <row r="619" spans="1:68">
      <c r="A619">
        <v>32</v>
      </c>
      <c r="AH619" s="6"/>
      <c r="AI619" s="33">
        <v>26.55</v>
      </c>
      <c r="BO619" s="6"/>
      <c r="BP619">
        <v>1</v>
      </c>
    </row>
    <row r="620" spans="1:68">
      <c r="A620">
        <v>32</v>
      </c>
      <c r="AH620" s="6"/>
      <c r="AI620" s="33">
        <v>26.55</v>
      </c>
      <c r="BO620" s="6"/>
      <c r="BP620">
        <v>1</v>
      </c>
    </row>
    <row r="621" spans="1:68">
      <c r="A621">
        <v>32</v>
      </c>
      <c r="AH621" s="6"/>
      <c r="AI621" s="33">
        <v>26.55</v>
      </c>
      <c r="BO621" s="6"/>
      <c r="BP621">
        <v>1</v>
      </c>
    </row>
    <row r="622" spans="1:68">
      <c r="A622">
        <v>32</v>
      </c>
      <c r="AH622" s="6"/>
      <c r="AI622" s="33">
        <v>26.55</v>
      </c>
      <c r="BO622" s="6"/>
      <c r="BP622">
        <v>1</v>
      </c>
    </row>
    <row r="623" spans="1:68">
      <c r="A623">
        <v>32</v>
      </c>
      <c r="AH623" s="6"/>
      <c r="AI623" s="33">
        <v>26.55</v>
      </c>
      <c r="BO623" s="6"/>
      <c r="BP623">
        <v>1</v>
      </c>
    </row>
    <row r="624" spans="1:68">
      <c r="A624">
        <v>32</v>
      </c>
      <c r="AH624" s="6"/>
      <c r="AI624" s="33">
        <v>27</v>
      </c>
      <c r="BO624" s="6"/>
      <c r="BP624">
        <v>1</v>
      </c>
    </row>
    <row r="625" spans="1:68">
      <c r="A625">
        <v>32.5</v>
      </c>
      <c r="AH625" s="6"/>
      <c r="AI625" s="33">
        <v>27</v>
      </c>
      <c r="BO625" s="6"/>
      <c r="BP625">
        <v>1</v>
      </c>
    </row>
    <row r="626" spans="1:68">
      <c r="A626">
        <v>32.5</v>
      </c>
      <c r="AH626" s="6"/>
      <c r="AI626" s="33">
        <v>27.720800000000001</v>
      </c>
      <c r="BO626" s="6"/>
      <c r="BP626">
        <v>1</v>
      </c>
    </row>
    <row r="627" spans="1:68">
      <c r="A627">
        <v>33</v>
      </c>
      <c r="AH627" s="6"/>
      <c r="AI627" s="33">
        <v>27.720800000000001</v>
      </c>
      <c r="BO627" s="6"/>
      <c r="BP627">
        <v>1</v>
      </c>
    </row>
    <row r="628" spans="1:68">
      <c r="A628">
        <v>33</v>
      </c>
      <c r="AH628" s="6"/>
      <c r="AI628" s="33">
        <v>27.720800000000001</v>
      </c>
      <c r="BO628" s="6"/>
      <c r="BP628">
        <v>1</v>
      </c>
    </row>
    <row r="629" spans="1:68">
      <c r="A629">
        <v>33</v>
      </c>
      <c r="AH629" s="6"/>
      <c r="AI629" s="33">
        <v>27.720800000000001</v>
      </c>
      <c r="BO629" s="6"/>
      <c r="BP629">
        <v>1</v>
      </c>
    </row>
    <row r="630" spans="1:68">
      <c r="A630">
        <v>33</v>
      </c>
      <c r="AH630" s="6"/>
      <c r="AI630" s="33">
        <v>27.720800000000001</v>
      </c>
      <c r="BO630" s="6"/>
      <c r="BP630">
        <v>1</v>
      </c>
    </row>
    <row r="631" spans="1:68">
      <c r="A631">
        <v>33</v>
      </c>
      <c r="AH631" s="6"/>
      <c r="AI631" s="33">
        <v>27.75</v>
      </c>
      <c r="BO631" s="6"/>
      <c r="BP631">
        <v>1</v>
      </c>
    </row>
    <row r="632" spans="1:68">
      <c r="A632">
        <v>33</v>
      </c>
      <c r="AH632" s="6"/>
      <c r="AI632" s="33">
        <v>27.75</v>
      </c>
      <c r="BO632" s="6"/>
      <c r="BP632">
        <v>1</v>
      </c>
    </row>
    <row r="633" spans="1:68">
      <c r="A633">
        <v>33</v>
      </c>
      <c r="AH633" s="6"/>
      <c r="AI633" s="33">
        <v>27.75</v>
      </c>
      <c r="BO633" s="6"/>
      <c r="BP633">
        <v>1</v>
      </c>
    </row>
    <row r="634" spans="1:68">
      <c r="A634">
        <v>33</v>
      </c>
      <c r="AH634" s="6"/>
      <c r="AI634" s="33">
        <v>27.75</v>
      </c>
      <c r="BO634" s="6"/>
      <c r="BP634">
        <v>1</v>
      </c>
    </row>
    <row r="635" spans="1:68">
      <c r="A635">
        <v>33</v>
      </c>
      <c r="AH635" s="6"/>
      <c r="AI635" s="33">
        <v>27.9</v>
      </c>
      <c r="BO635" s="6"/>
      <c r="BP635">
        <v>1</v>
      </c>
    </row>
    <row r="636" spans="1:68">
      <c r="A636">
        <v>33</v>
      </c>
      <c r="AH636" s="6"/>
      <c r="AI636" s="33">
        <v>27.9</v>
      </c>
      <c r="BO636" s="6"/>
      <c r="BP636">
        <v>1</v>
      </c>
    </row>
    <row r="637" spans="1:68">
      <c r="A637">
        <v>33</v>
      </c>
      <c r="AH637" s="6"/>
      <c r="AI637" s="33">
        <v>27.9</v>
      </c>
      <c r="BO637" s="6"/>
      <c r="BP637">
        <v>1</v>
      </c>
    </row>
    <row r="638" spans="1:68">
      <c r="A638">
        <v>33</v>
      </c>
      <c r="AH638" s="6"/>
      <c r="AI638" s="33">
        <v>27.9</v>
      </c>
      <c r="BO638" s="6"/>
      <c r="BP638">
        <v>1</v>
      </c>
    </row>
    <row r="639" spans="1:68">
      <c r="A639">
        <v>33</v>
      </c>
      <c r="AH639" s="6"/>
      <c r="AI639" s="33">
        <v>27.9</v>
      </c>
      <c r="BO639" s="6"/>
      <c r="BP639">
        <v>1</v>
      </c>
    </row>
    <row r="640" spans="1:68">
      <c r="A640">
        <v>33</v>
      </c>
      <c r="AH640" s="6"/>
      <c r="AI640" s="33">
        <v>27.9</v>
      </c>
      <c r="BO640" s="6"/>
      <c r="BP640">
        <v>1</v>
      </c>
    </row>
    <row r="641" spans="1:68">
      <c r="A641">
        <v>33</v>
      </c>
      <c r="AH641" s="6"/>
      <c r="AI641" s="33">
        <v>28.5</v>
      </c>
      <c r="BO641" s="6"/>
      <c r="BP641">
        <v>1</v>
      </c>
    </row>
    <row r="642" spans="1:68">
      <c r="A642">
        <v>34</v>
      </c>
      <c r="AH642" s="6"/>
      <c r="AI642" s="33">
        <v>28.712499999999999</v>
      </c>
      <c r="BO642" s="6"/>
      <c r="BP642">
        <v>1</v>
      </c>
    </row>
    <row r="643" spans="1:68">
      <c r="A643">
        <v>34</v>
      </c>
      <c r="AH643" s="6"/>
      <c r="AI643" s="33">
        <v>29</v>
      </c>
      <c r="BO643" s="6"/>
      <c r="BP643">
        <v>1</v>
      </c>
    </row>
    <row r="644" spans="1:68">
      <c r="A644">
        <v>34</v>
      </c>
      <c r="AH644" s="6"/>
      <c r="AI644" s="33">
        <v>29</v>
      </c>
      <c r="BO644" s="6"/>
      <c r="BP644">
        <v>1</v>
      </c>
    </row>
    <row r="645" spans="1:68">
      <c r="A645">
        <v>34</v>
      </c>
      <c r="AH645" s="6"/>
      <c r="AI645" s="33">
        <v>29.125</v>
      </c>
      <c r="BO645" s="6"/>
      <c r="BP645">
        <v>1</v>
      </c>
    </row>
    <row r="646" spans="1:68">
      <c r="A646">
        <v>34</v>
      </c>
      <c r="AH646" s="6"/>
      <c r="AI646" s="33">
        <v>29.125</v>
      </c>
      <c r="BO646" s="6"/>
      <c r="BP646">
        <v>1</v>
      </c>
    </row>
    <row r="647" spans="1:68">
      <c r="A647">
        <v>34</v>
      </c>
      <c r="AH647" s="6"/>
      <c r="AI647" s="33">
        <v>29.125</v>
      </c>
      <c r="BO647" s="6"/>
      <c r="BP647">
        <v>1</v>
      </c>
    </row>
    <row r="648" spans="1:68">
      <c r="A648">
        <v>34</v>
      </c>
      <c r="AH648" s="6"/>
      <c r="AI648" s="33">
        <v>29.125</v>
      </c>
      <c r="BO648" s="6"/>
      <c r="BP648">
        <v>1</v>
      </c>
    </row>
    <row r="649" spans="1:68">
      <c r="A649">
        <v>34</v>
      </c>
      <c r="AH649" s="6"/>
      <c r="AI649" s="33">
        <v>29.125</v>
      </c>
      <c r="BO649" s="6"/>
      <c r="BP649">
        <v>1</v>
      </c>
    </row>
    <row r="650" spans="1:68">
      <c r="A650">
        <v>34</v>
      </c>
      <c r="AH650" s="6"/>
      <c r="AI650" s="33">
        <v>29.7</v>
      </c>
      <c r="BO650" s="6"/>
      <c r="BP650">
        <v>1</v>
      </c>
    </row>
    <row r="651" spans="1:68">
      <c r="A651">
        <v>34</v>
      </c>
      <c r="AH651" s="6"/>
      <c r="AI651" s="33">
        <v>29.7</v>
      </c>
      <c r="BO651" s="6"/>
      <c r="BP651">
        <v>1</v>
      </c>
    </row>
    <row r="652" spans="1:68">
      <c r="A652">
        <v>34</v>
      </c>
      <c r="AH652" s="6"/>
      <c r="AI652" s="33">
        <v>29.7</v>
      </c>
      <c r="BO652" s="6"/>
      <c r="BP652">
        <v>1</v>
      </c>
    </row>
    <row r="653" spans="1:68">
      <c r="A653">
        <v>34</v>
      </c>
      <c r="AH653" s="6"/>
      <c r="AI653" s="33">
        <v>30</v>
      </c>
      <c r="BO653" s="6"/>
      <c r="BP653">
        <v>1</v>
      </c>
    </row>
    <row r="654" spans="1:68">
      <c r="A654">
        <v>34</v>
      </c>
      <c r="AH654" s="6"/>
      <c r="AI654" s="33">
        <v>30</v>
      </c>
      <c r="BO654" s="6"/>
      <c r="BP654">
        <v>1</v>
      </c>
    </row>
    <row r="655" spans="1:68">
      <c r="A655">
        <v>34</v>
      </c>
      <c r="AH655" s="6"/>
      <c r="AI655" s="33">
        <v>30</v>
      </c>
      <c r="BO655" s="6"/>
      <c r="BP655">
        <v>1</v>
      </c>
    </row>
    <row r="656" spans="1:68">
      <c r="A656">
        <v>34</v>
      </c>
      <c r="AH656" s="6"/>
      <c r="AI656" s="33">
        <v>30</v>
      </c>
      <c r="BO656" s="6"/>
      <c r="BP656">
        <v>1</v>
      </c>
    </row>
    <row r="657" spans="1:68">
      <c r="A657">
        <v>34.5</v>
      </c>
      <c r="AH657" s="6"/>
      <c r="AI657" s="33">
        <v>30</v>
      </c>
      <c r="BO657" s="6"/>
      <c r="BP657">
        <v>1</v>
      </c>
    </row>
    <row r="658" spans="1:68">
      <c r="A658">
        <v>35</v>
      </c>
      <c r="AH658" s="6"/>
      <c r="AI658" s="33">
        <v>30</v>
      </c>
      <c r="BO658" s="6"/>
      <c r="BP658">
        <v>1</v>
      </c>
    </row>
    <row r="659" spans="1:68">
      <c r="A659">
        <v>35</v>
      </c>
      <c r="AH659" s="6"/>
      <c r="AI659" s="33">
        <v>30.070799999999998</v>
      </c>
      <c r="BO659" s="6"/>
      <c r="BP659">
        <v>1</v>
      </c>
    </row>
    <row r="660" spans="1:68">
      <c r="A660">
        <v>35</v>
      </c>
      <c r="AH660" s="6"/>
      <c r="AI660" s="33">
        <v>30.070799999999998</v>
      </c>
      <c r="BO660" s="6"/>
      <c r="BP660">
        <v>1</v>
      </c>
    </row>
    <row r="661" spans="1:68">
      <c r="A661">
        <v>35</v>
      </c>
      <c r="AH661" s="6"/>
      <c r="AI661" s="33">
        <v>30.5</v>
      </c>
      <c r="BO661" s="6"/>
      <c r="BP661">
        <v>1</v>
      </c>
    </row>
    <row r="662" spans="1:68">
      <c r="A662">
        <v>35</v>
      </c>
      <c r="AH662" s="6"/>
      <c r="AI662" s="33">
        <v>30.5</v>
      </c>
      <c r="BO662" s="6"/>
      <c r="BP662">
        <v>1</v>
      </c>
    </row>
    <row r="663" spans="1:68">
      <c r="A663">
        <v>35</v>
      </c>
      <c r="AH663" s="6"/>
      <c r="AI663" s="33">
        <v>30.5</v>
      </c>
      <c r="BO663" s="6"/>
      <c r="BP663">
        <v>1</v>
      </c>
    </row>
    <row r="664" spans="1:68">
      <c r="A664">
        <v>35</v>
      </c>
      <c r="AH664" s="6"/>
      <c r="AI664" s="33">
        <v>30.5</v>
      </c>
      <c r="BO664" s="6"/>
      <c r="BP664">
        <v>1</v>
      </c>
    </row>
    <row r="665" spans="1:68">
      <c r="A665">
        <v>35</v>
      </c>
      <c r="AH665" s="6"/>
      <c r="AI665" s="33">
        <v>30.5</v>
      </c>
      <c r="BO665" s="6"/>
      <c r="BP665">
        <v>1</v>
      </c>
    </row>
    <row r="666" spans="1:68">
      <c r="A666">
        <v>35</v>
      </c>
      <c r="AH666" s="6"/>
      <c r="AI666" s="33">
        <v>30.695799999999998</v>
      </c>
      <c r="BO666" s="6"/>
      <c r="BP666">
        <v>1</v>
      </c>
    </row>
    <row r="667" spans="1:68">
      <c r="A667">
        <v>35</v>
      </c>
      <c r="AH667" s="6"/>
      <c r="AI667" s="33">
        <v>30.695799999999998</v>
      </c>
      <c r="BO667" s="6"/>
      <c r="BP667">
        <v>1</v>
      </c>
    </row>
    <row r="668" spans="1:68">
      <c r="A668">
        <v>35</v>
      </c>
      <c r="AH668" s="6"/>
      <c r="AI668" s="33">
        <v>31</v>
      </c>
      <c r="BO668" s="6"/>
      <c r="BP668">
        <v>1</v>
      </c>
    </row>
    <row r="669" spans="1:68">
      <c r="A669">
        <v>35</v>
      </c>
      <c r="AH669" s="6"/>
      <c r="AI669" s="33">
        <v>31</v>
      </c>
      <c r="BO669" s="6"/>
      <c r="BP669">
        <v>1</v>
      </c>
    </row>
    <row r="670" spans="1:68">
      <c r="A670">
        <v>35</v>
      </c>
      <c r="AH670" s="6"/>
      <c r="AI670" s="33">
        <v>31</v>
      </c>
      <c r="BO670" s="6"/>
      <c r="BP670">
        <v>1</v>
      </c>
    </row>
    <row r="671" spans="1:68">
      <c r="A671">
        <v>35</v>
      </c>
      <c r="AH671" s="6"/>
      <c r="AI671" s="33">
        <v>31.274999999999999</v>
      </c>
      <c r="BO671" s="6"/>
      <c r="BP671">
        <v>1</v>
      </c>
    </row>
    <row r="672" spans="1:68">
      <c r="A672">
        <v>35</v>
      </c>
      <c r="AH672" s="6"/>
      <c r="AI672" s="33">
        <v>31.274999999999999</v>
      </c>
      <c r="BO672" s="6"/>
      <c r="BP672">
        <v>1</v>
      </c>
    </row>
    <row r="673" spans="1:68">
      <c r="A673">
        <v>35</v>
      </c>
      <c r="AH673" s="6"/>
      <c r="AI673" s="33">
        <v>31.274999999999999</v>
      </c>
      <c r="BO673" s="6"/>
      <c r="BP673">
        <v>1</v>
      </c>
    </row>
    <row r="674" spans="1:68">
      <c r="A674">
        <v>35</v>
      </c>
      <c r="AH674" s="6"/>
      <c r="AI674" s="33">
        <v>31.274999999999999</v>
      </c>
      <c r="BO674" s="6"/>
      <c r="BP674">
        <v>1</v>
      </c>
    </row>
    <row r="675" spans="1:68">
      <c r="A675">
        <v>35</v>
      </c>
      <c r="AH675" s="6"/>
      <c r="AI675" s="33">
        <v>31.274999999999999</v>
      </c>
      <c r="BO675" s="6"/>
      <c r="BP675">
        <v>1</v>
      </c>
    </row>
    <row r="676" spans="1:68">
      <c r="A676">
        <v>36</v>
      </c>
      <c r="AH676" s="6"/>
      <c r="AI676" s="33">
        <v>31.274999999999999</v>
      </c>
      <c r="BO676" s="6"/>
      <c r="BP676">
        <v>1</v>
      </c>
    </row>
    <row r="677" spans="1:68">
      <c r="A677">
        <v>36</v>
      </c>
      <c r="AH677" s="6"/>
      <c r="AI677" s="33">
        <v>31.274999999999999</v>
      </c>
      <c r="BO677" s="6"/>
      <c r="BP677">
        <v>1</v>
      </c>
    </row>
    <row r="678" spans="1:68">
      <c r="A678">
        <v>36</v>
      </c>
      <c r="AH678" s="6"/>
      <c r="AI678" s="33">
        <v>31.387499999999999</v>
      </c>
      <c r="BO678" s="6"/>
      <c r="BP678">
        <v>1</v>
      </c>
    </row>
    <row r="679" spans="1:68">
      <c r="A679">
        <v>36</v>
      </c>
      <c r="AH679" s="6"/>
      <c r="AI679" s="33">
        <v>31.387499999999999</v>
      </c>
      <c r="BO679" s="6"/>
      <c r="BP679">
        <v>1</v>
      </c>
    </row>
    <row r="680" spans="1:68">
      <c r="A680">
        <v>36</v>
      </c>
      <c r="AH680" s="6"/>
      <c r="AI680" s="33">
        <v>31.387499999999999</v>
      </c>
      <c r="BO680" s="6"/>
      <c r="BP680">
        <v>1</v>
      </c>
    </row>
    <row r="681" spans="1:68">
      <c r="A681">
        <v>36</v>
      </c>
      <c r="AH681" s="6"/>
      <c r="AI681" s="33">
        <v>31.387499999999999</v>
      </c>
      <c r="BO681" s="6"/>
      <c r="BP681">
        <v>1</v>
      </c>
    </row>
    <row r="682" spans="1:68">
      <c r="A682">
        <v>36</v>
      </c>
      <c r="AH682" s="6"/>
      <c r="AI682" s="33">
        <v>32.320799999999998</v>
      </c>
      <c r="BO682" s="6"/>
      <c r="BP682">
        <v>1</v>
      </c>
    </row>
    <row r="683" spans="1:68">
      <c r="A683">
        <v>36</v>
      </c>
      <c r="AH683" s="6"/>
      <c r="AI683" s="33">
        <v>32.5</v>
      </c>
      <c r="BO683" s="6"/>
      <c r="BP683">
        <v>1</v>
      </c>
    </row>
    <row r="684" spans="1:68">
      <c r="A684">
        <v>36</v>
      </c>
      <c r="AH684" s="6"/>
      <c r="AI684" s="33">
        <v>33</v>
      </c>
      <c r="BO684" s="6"/>
      <c r="BP684">
        <v>1</v>
      </c>
    </row>
    <row r="685" spans="1:68">
      <c r="A685">
        <v>36</v>
      </c>
      <c r="AH685" s="6"/>
      <c r="AI685" s="33">
        <v>33</v>
      </c>
      <c r="BO685" s="6"/>
      <c r="BP685">
        <v>1</v>
      </c>
    </row>
    <row r="686" spans="1:68">
      <c r="A686">
        <v>36</v>
      </c>
      <c r="AH686" s="6"/>
      <c r="AI686" s="33">
        <v>33</v>
      </c>
      <c r="BO686" s="6"/>
      <c r="BP686">
        <v>1</v>
      </c>
    </row>
    <row r="687" spans="1:68">
      <c r="A687">
        <v>36</v>
      </c>
      <c r="AH687" s="6"/>
      <c r="AI687" s="33">
        <v>33.5</v>
      </c>
      <c r="BO687" s="6"/>
      <c r="BP687">
        <v>1</v>
      </c>
    </row>
    <row r="688" spans="1:68">
      <c r="A688">
        <v>36</v>
      </c>
      <c r="AH688" s="6"/>
      <c r="AI688" s="33">
        <v>34.020800000000001</v>
      </c>
      <c r="BO688" s="6"/>
      <c r="BP688">
        <v>1</v>
      </c>
    </row>
    <row r="689" spans="1:68">
      <c r="A689">
        <v>36</v>
      </c>
      <c r="AH689" s="6"/>
      <c r="AI689" s="33">
        <v>34.375</v>
      </c>
      <c r="BO689" s="6"/>
      <c r="BP689">
        <v>1</v>
      </c>
    </row>
    <row r="690" spans="1:68">
      <c r="A690">
        <v>36</v>
      </c>
      <c r="AH690" s="6"/>
      <c r="AI690" s="33">
        <v>34.375</v>
      </c>
      <c r="BO690" s="6"/>
      <c r="BP690">
        <v>1</v>
      </c>
    </row>
    <row r="691" spans="1:68">
      <c r="A691">
        <v>36</v>
      </c>
      <c r="AH691" s="6"/>
      <c r="AI691" s="33">
        <v>34.375</v>
      </c>
      <c r="BO691" s="6"/>
      <c r="BP691">
        <v>1</v>
      </c>
    </row>
    <row r="692" spans="1:68">
      <c r="A692">
        <v>36</v>
      </c>
      <c r="AH692" s="6"/>
      <c r="AI692" s="33">
        <v>34.375</v>
      </c>
      <c r="BO692" s="6"/>
      <c r="BP692">
        <v>1</v>
      </c>
    </row>
    <row r="693" spans="1:68">
      <c r="A693">
        <v>36</v>
      </c>
      <c r="AH693" s="6"/>
      <c r="AI693" s="33">
        <v>34.654200000000003</v>
      </c>
      <c r="BO693" s="6"/>
      <c r="BP693">
        <v>1</v>
      </c>
    </row>
    <row r="694" spans="1:68">
      <c r="A694">
        <v>36</v>
      </c>
      <c r="AH694" s="6"/>
      <c r="AI694" s="33">
        <v>35</v>
      </c>
      <c r="BO694" s="6"/>
      <c r="BP694">
        <v>1</v>
      </c>
    </row>
    <row r="695" spans="1:68">
      <c r="A695">
        <v>36</v>
      </c>
      <c r="AH695" s="6"/>
      <c r="AI695" s="33">
        <v>35.5</v>
      </c>
      <c r="BO695" s="6"/>
      <c r="BP695">
        <v>1</v>
      </c>
    </row>
    <row r="696" spans="1:68">
      <c r="A696">
        <v>36</v>
      </c>
      <c r="AH696" s="6"/>
      <c r="AI696" s="33">
        <v>35.5</v>
      </c>
      <c r="BO696" s="6"/>
      <c r="BP696">
        <v>1</v>
      </c>
    </row>
    <row r="697" spans="1:68">
      <c r="A697">
        <v>36</v>
      </c>
      <c r="AH697" s="6"/>
      <c r="AI697" s="33">
        <v>35.5</v>
      </c>
      <c r="BO697" s="6"/>
      <c r="BP697">
        <v>1</v>
      </c>
    </row>
    <row r="698" spans="1:68">
      <c r="A698">
        <v>36.5</v>
      </c>
      <c r="AH698" s="6"/>
      <c r="AI698" s="33">
        <v>35.5</v>
      </c>
      <c r="BO698" s="6"/>
      <c r="BP698">
        <v>1</v>
      </c>
    </row>
    <row r="699" spans="1:68">
      <c r="A699">
        <v>37</v>
      </c>
      <c r="AH699" s="6"/>
      <c r="AI699" s="33">
        <v>36.75</v>
      </c>
      <c r="BO699" s="6"/>
      <c r="BP699">
        <v>1</v>
      </c>
    </row>
    <row r="700" spans="1:68">
      <c r="A700">
        <v>37</v>
      </c>
      <c r="AH700" s="6"/>
      <c r="AI700" s="33">
        <v>36.75</v>
      </c>
      <c r="BO700" s="6"/>
      <c r="BP700">
        <v>1</v>
      </c>
    </row>
    <row r="701" spans="1:68">
      <c r="A701">
        <v>37</v>
      </c>
      <c r="AH701" s="6"/>
      <c r="AI701" s="33">
        <v>37.004199999999997</v>
      </c>
      <c r="BO701" s="6"/>
      <c r="BP701">
        <v>1</v>
      </c>
    </row>
    <row r="702" spans="1:68">
      <c r="A702">
        <v>37</v>
      </c>
      <c r="AH702" s="6"/>
      <c r="AI702" s="33">
        <v>37.004199999999997</v>
      </c>
      <c r="BO702" s="6"/>
      <c r="BP702">
        <v>1</v>
      </c>
    </row>
    <row r="703" spans="1:68">
      <c r="A703">
        <v>37</v>
      </c>
      <c r="AH703" s="6"/>
      <c r="AI703" s="33">
        <v>38.5</v>
      </c>
      <c r="BO703" s="6"/>
      <c r="BP703">
        <v>1</v>
      </c>
    </row>
    <row r="704" spans="1:68">
      <c r="A704">
        <v>37</v>
      </c>
      <c r="AH704" s="6"/>
      <c r="AI704" s="33">
        <v>39</v>
      </c>
      <c r="BO704" s="6"/>
      <c r="BP704">
        <v>1</v>
      </c>
    </row>
    <row r="705" spans="1:68">
      <c r="A705">
        <v>38</v>
      </c>
      <c r="AH705" s="6"/>
      <c r="AI705" s="33">
        <v>39</v>
      </c>
      <c r="BO705" s="6"/>
      <c r="BP705">
        <v>1</v>
      </c>
    </row>
    <row r="706" spans="1:68">
      <c r="A706">
        <v>38</v>
      </c>
      <c r="AH706" s="6"/>
      <c r="AI706" s="33">
        <v>39</v>
      </c>
      <c r="BO706" s="6"/>
      <c r="BP706">
        <v>1</v>
      </c>
    </row>
    <row r="707" spans="1:68">
      <c r="A707">
        <v>38</v>
      </c>
      <c r="AH707" s="6"/>
      <c r="AI707" s="33">
        <v>39</v>
      </c>
      <c r="BO707" s="6"/>
      <c r="BP707">
        <v>1</v>
      </c>
    </row>
    <row r="708" spans="1:68">
      <c r="A708">
        <v>38</v>
      </c>
      <c r="AH708" s="6"/>
      <c r="AI708" s="33">
        <v>39.4</v>
      </c>
      <c r="BO708" s="6"/>
      <c r="BP708">
        <v>1</v>
      </c>
    </row>
    <row r="709" spans="1:68">
      <c r="A709">
        <v>38</v>
      </c>
      <c r="AH709" s="6"/>
      <c r="AI709" s="33">
        <v>39.6</v>
      </c>
      <c r="BO709" s="6"/>
      <c r="BP709">
        <v>1</v>
      </c>
    </row>
    <row r="710" spans="1:68">
      <c r="A710">
        <v>38</v>
      </c>
      <c r="AH710" s="6"/>
      <c r="AI710" s="33">
        <v>39.6</v>
      </c>
      <c r="BO710" s="6"/>
      <c r="BP710">
        <v>1</v>
      </c>
    </row>
    <row r="711" spans="1:68">
      <c r="A711">
        <v>38</v>
      </c>
      <c r="AH711" s="6"/>
      <c r="AI711" s="33">
        <v>39.6875</v>
      </c>
      <c r="BO711" s="6"/>
      <c r="BP711">
        <v>1</v>
      </c>
    </row>
    <row r="712" spans="1:68">
      <c r="A712">
        <v>38</v>
      </c>
      <c r="AH712" s="6"/>
      <c r="AI712" s="33">
        <v>39.6875</v>
      </c>
      <c r="BO712" s="6"/>
      <c r="BP712">
        <v>1</v>
      </c>
    </row>
    <row r="713" spans="1:68">
      <c r="A713">
        <v>38</v>
      </c>
      <c r="AH713" s="6"/>
      <c r="AI713" s="33">
        <v>39.6875</v>
      </c>
      <c r="BO713" s="6"/>
      <c r="BP713">
        <v>1</v>
      </c>
    </row>
    <row r="714" spans="1:68">
      <c r="A714">
        <v>38</v>
      </c>
      <c r="AH714" s="6"/>
      <c r="AI714" s="33">
        <v>39.6875</v>
      </c>
      <c r="BO714" s="6"/>
      <c r="BP714">
        <v>1</v>
      </c>
    </row>
    <row r="715" spans="1:68">
      <c r="A715">
        <v>39</v>
      </c>
      <c r="AH715" s="6"/>
      <c r="AI715" s="33">
        <v>39.6875</v>
      </c>
      <c r="BO715" s="6"/>
      <c r="BP715">
        <v>1</v>
      </c>
    </row>
    <row r="716" spans="1:68">
      <c r="A716">
        <v>39</v>
      </c>
      <c r="AH716" s="6"/>
      <c r="AI716" s="33">
        <v>39.6875</v>
      </c>
      <c r="BO716" s="6"/>
      <c r="BP716">
        <v>1</v>
      </c>
    </row>
    <row r="717" spans="1:68">
      <c r="A717">
        <v>39</v>
      </c>
      <c r="AH717" s="6"/>
      <c r="AI717" s="33">
        <v>40.125</v>
      </c>
      <c r="BO717" s="6"/>
      <c r="BP717">
        <v>1</v>
      </c>
    </row>
    <row r="718" spans="1:68">
      <c r="A718">
        <v>39</v>
      </c>
      <c r="AH718" s="6"/>
      <c r="AI718" s="33">
        <v>41.5792</v>
      </c>
      <c r="BO718" s="6"/>
      <c r="BP718">
        <v>1</v>
      </c>
    </row>
    <row r="719" spans="1:68">
      <c r="A719">
        <v>39</v>
      </c>
      <c r="AH719" s="6"/>
      <c r="AI719" s="33">
        <v>41.5792</v>
      </c>
      <c r="BO719" s="6"/>
      <c r="BP719">
        <v>1</v>
      </c>
    </row>
    <row r="720" spans="1:68">
      <c r="A720">
        <v>39</v>
      </c>
      <c r="AH720" s="6"/>
      <c r="AI720" s="33">
        <v>41.5792</v>
      </c>
      <c r="BO720" s="6"/>
      <c r="BP720">
        <v>1</v>
      </c>
    </row>
    <row r="721" spans="1:68">
      <c r="A721">
        <v>39</v>
      </c>
      <c r="AH721" s="6"/>
      <c r="AI721" s="33">
        <v>42.4</v>
      </c>
      <c r="BO721" s="6"/>
      <c r="BP721">
        <v>1</v>
      </c>
    </row>
    <row r="722" spans="1:68">
      <c r="A722">
        <v>39</v>
      </c>
      <c r="AH722" s="6"/>
      <c r="AI722" s="33">
        <v>46.9</v>
      </c>
      <c r="BO722" s="6"/>
      <c r="BP722">
        <v>1</v>
      </c>
    </row>
    <row r="723" spans="1:68">
      <c r="A723">
        <v>39</v>
      </c>
      <c r="AH723" s="6"/>
      <c r="AI723" s="33">
        <v>46.9</v>
      </c>
      <c r="BO723" s="6"/>
      <c r="BP723">
        <v>1</v>
      </c>
    </row>
    <row r="724" spans="1:68">
      <c r="A724">
        <v>39</v>
      </c>
      <c r="AH724" s="6"/>
      <c r="AI724" s="33">
        <v>46.9</v>
      </c>
      <c r="BO724" s="6"/>
      <c r="BP724">
        <v>1</v>
      </c>
    </row>
    <row r="725" spans="1:68">
      <c r="A725">
        <v>39</v>
      </c>
      <c r="AH725" s="6"/>
      <c r="AI725" s="33">
        <v>46.9</v>
      </c>
      <c r="BO725" s="6"/>
      <c r="BP725">
        <v>1</v>
      </c>
    </row>
    <row r="726" spans="1:68">
      <c r="A726">
        <v>39</v>
      </c>
      <c r="AH726" s="6"/>
      <c r="AI726" s="33">
        <v>46.9</v>
      </c>
      <c r="BO726" s="6"/>
      <c r="BP726">
        <v>1</v>
      </c>
    </row>
    <row r="727" spans="1:68">
      <c r="A727">
        <v>39</v>
      </c>
      <c r="AH727" s="6"/>
      <c r="AI727" s="33">
        <v>46.9</v>
      </c>
      <c r="BO727" s="6"/>
      <c r="BP727">
        <v>1</v>
      </c>
    </row>
    <row r="728" spans="1:68">
      <c r="A728">
        <v>39</v>
      </c>
      <c r="AH728" s="6"/>
      <c r="AI728" s="33">
        <v>47.1</v>
      </c>
      <c r="BO728" s="6"/>
      <c r="BP728">
        <v>1</v>
      </c>
    </row>
    <row r="729" spans="1:68">
      <c r="A729">
        <v>40</v>
      </c>
      <c r="AH729" s="6"/>
      <c r="AI729" s="33">
        <v>49.5</v>
      </c>
      <c r="BO729" s="6"/>
      <c r="BP729">
        <v>1</v>
      </c>
    </row>
    <row r="730" spans="1:68">
      <c r="A730">
        <v>40</v>
      </c>
      <c r="AH730" s="6"/>
      <c r="AI730" s="33">
        <v>49.504199999999997</v>
      </c>
      <c r="BO730" s="6"/>
      <c r="BP730">
        <v>1</v>
      </c>
    </row>
    <row r="731" spans="1:68">
      <c r="A731">
        <v>40</v>
      </c>
      <c r="AH731" s="6"/>
      <c r="AI731" s="33">
        <v>49.504199999999997</v>
      </c>
      <c r="BO731" s="6"/>
      <c r="BP731">
        <v>1</v>
      </c>
    </row>
    <row r="732" spans="1:68">
      <c r="A732">
        <v>40</v>
      </c>
      <c r="AH732" s="6"/>
      <c r="AI732" s="33">
        <v>50</v>
      </c>
      <c r="BO732" s="6"/>
      <c r="BP732">
        <v>1</v>
      </c>
    </row>
    <row r="733" spans="1:68">
      <c r="A733">
        <v>40</v>
      </c>
      <c r="AH733" s="6"/>
      <c r="AI733" s="33">
        <v>50.495800000000003</v>
      </c>
      <c r="BO733" s="6"/>
      <c r="BP733">
        <v>1</v>
      </c>
    </row>
    <row r="734" spans="1:68">
      <c r="A734">
        <v>40</v>
      </c>
      <c r="AH734" s="6"/>
      <c r="AI734" s="33">
        <v>51.479199999999999</v>
      </c>
      <c r="BO734" s="6"/>
      <c r="BP734">
        <v>1</v>
      </c>
    </row>
    <row r="735" spans="1:68">
      <c r="A735">
        <v>40</v>
      </c>
      <c r="AH735" s="6"/>
      <c r="AI735" s="33">
        <v>51.862499999999997</v>
      </c>
      <c r="BO735" s="6"/>
      <c r="BP735">
        <v>1</v>
      </c>
    </row>
    <row r="736" spans="1:68">
      <c r="A736">
        <v>40</v>
      </c>
      <c r="AH736" s="6"/>
      <c r="AI736" s="33">
        <v>51.862499999999997</v>
      </c>
      <c r="BO736" s="6"/>
      <c r="BP736">
        <v>1</v>
      </c>
    </row>
    <row r="737" spans="1:68">
      <c r="A737">
        <v>40</v>
      </c>
      <c r="AH737" s="6"/>
      <c r="AI737" s="33">
        <v>52</v>
      </c>
      <c r="BO737" s="6"/>
      <c r="BP737">
        <v>1</v>
      </c>
    </row>
    <row r="738" spans="1:68">
      <c r="A738">
        <v>40</v>
      </c>
      <c r="AH738" s="6"/>
      <c r="AI738" s="33">
        <v>52</v>
      </c>
      <c r="BO738" s="6"/>
      <c r="BP738">
        <v>1</v>
      </c>
    </row>
    <row r="739" spans="1:68">
      <c r="A739">
        <v>40</v>
      </c>
      <c r="AH739" s="6"/>
      <c r="AI739" s="33">
        <v>52</v>
      </c>
      <c r="BO739" s="6"/>
      <c r="BP739">
        <v>1</v>
      </c>
    </row>
    <row r="740" spans="1:68">
      <c r="A740">
        <v>40</v>
      </c>
      <c r="AH740" s="6"/>
      <c r="AI740" s="33">
        <v>52</v>
      </c>
      <c r="BO740" s="6"/>
      <c r="BP740">
        <v>1</v>
      </c>
    </row>
    <row r="741" spans="1:68">
      <c r="A741">
        <v>40</v>
      </c>
      <c r="AH741" s="6"/>
      <c r="AI741" s="33">
        <v>52</v>
      </c>
      <c r="BO741" s="6"/>
      <c r="BP741">
        <v>1</v>
      </c>
    </row>
    <row r="742" spans="1:68">
      <c r="A742">
        <v>40.5</v>
      </c>
      <c r="AH742" s="6"/>
      <c r="AI742" s="33">
        <v>52</v>
      </c>
      <c r="BO742" s="6"/>
      <c r="BP742">
        <v>1</v>
      </c>
    </row>
    <row r="743" spans="1:68">
      <c r="A743">
        <v>40.5</v>
      </c>
      <c r="AH743" s="6"/>
      <c r="AI743" s="33">
        <v>52</v>
      </c>
      <c r="BO743" s="6"/>
      <c r="BP743">
        <v>1</v>
      </c>
    </row>
    <row r="744" spans="1:68">
      <c r="A744">
        <v>41</v>
      </c>
      <c r="AH744" s="6"/>
      <c r="AI744" s="33">
        <v>52.554200000000002</v>
      </c>
      <c r="BO744" s="6"/>
      <c r="BP744">
        <v>1</v>
      </c>
    </row>
    <row r="745" spans="1:68">
      <c r="A745">
        <v>41</v>
      </c>
      <c r="AH745" s="6"/>
      <c r="AI745" s="33">
        <v>52.554200000000002</v>
      </c>
      <c r="BO745" s="6"/>
      <c r="BP745">
        <v>1</v>
      </c>
    </row>
    <row r="746" spans="1:68">
      <c r="A746">
        <v>41</v>
      </c>
      <c r="AH746" s="6"/>
      <c r="AI746" s="33">
        <v>52.554200000000002</v>
      </c>
      <c r="BO746" s="6"/>
      <c r="BP746">
        <v>1</v>
      </c>
    </row>
    <row r="747" spans="1:68">
      <c r="A747">
        <v>41</v>
      </c>
      <c r="AH747" s="6"/>
      <c r="AI747" s="33">
        <v>53.1</v>
      </c>
      <c r="BO747" s="6"/>
      <c r="BP747">
        <v>1</v>
      </c>
    </row>
    <row r="748" spans="1:68">
      <c r="A748">
        <v>41</v>
      </c>
      <c r="AH748" s="6"/>
      <c r="AI748" s="33">
        <v>53.1</v>
      </c>
      <c r="BO748" s="6"/>
      <c r="BP748">
        <v>1</v>
      </c>
    </row>
    <row r="749" spans="1:68">
      <c r="A749">
        <v>41</v>
      </c>
      <c r="AH749" s="6"/>
      <c r="AI749" s="33">
        <v>53.1</v>
      </c>
      <c r="BO749" s="6"/>
      <c r="BP749">
        <v>1</v>
      </c>
    </row>
    <row r="750" spans="1:68">
      <c r="A750">
        <v>42</v>
      </c>
      <c r="AH750" s="6"/>
      <c r="AI750" s="33">
        <v>53.1</v>
      </c>
      <c r="BO750" s="6"/>
      <c r="BP750">
        <v>1</v>
      </c>
    </row>
    <row r="751" spans="1:68">
      <c r="A751">
        <v>42</v>
      </c>
      <c r="AH751" s="6"/>
      <c r="AI751" s="33">
        <v>53.1</v>
      </c>
      <c r="BO751" s="6"/>
      <c r="BP751">
        <v>1</v>
      </c>
    </row>
    <row r="752" spans="1:68">
      <c r="A752">
        <v>42</v>
      </c>
      <c r="AH752" s="6"/>
      <c r="AI752" s="33">
        <v>55</v>
      </c>
      <c r="BO752" s="6"/>
      <c r="BP752">
        <v>1</v>
      </c>
    </row>
    <row r="753" spans="1:68">
      <c r="A753">
        <v>42</v>
      </c>
      <c r="AH753" s="6"/>
      <c r="AI753" s="33">
        <v>55</v>
      </c>
      <c r="BO753" s="6"/>
      <c r="BP753">
        <v>1</v>
      </c>
    </row>
    <row r="754" spans="1:68">
      <c r="A754">
        <v>42</v>
      </c>
      <c r="AH754" s="6"/>
      <c r="AI754" s="33">
        <v>55.441699999999997</v>
      </c>
      <c r="BO754" s="6"/>
      <c r="BP754">
        <v>1</v>
      </c>
    </row>
    <row r="755" spans="1:68">
      <c r="A755">
        <v>42</v>
      </c>
      <c r="AH755" s="6"/>
      <c r="AI755" s="33">
        <v>55.9</v>
      </c>
      <c r="BO755" s="6"/>
      <c r="BP755">
        <v>1</v>
      </c>
    </row>
    <row r="756" spans="1:68">
      <c r="A756">
        <v>42</v>
      </c>
      <c r="AH756" s="6"/>
      <c r="AI756" s="33">
        <v>55.9</v>
      </c>
      <c r="BO756" s="6"/>
      <c r="BP756">
        <v>1</v>
      </c>
    </row>
    <row r="757" spans="1:68">
      <c r="A757">
        <v>42</v>
      </c>
      <c r="AH757" s="6"/>
      <c r="AI757" s="33">
        <v>56.495800000000003</v>
      </c>
      <c r="BO757" s="6"/>
      <c r="BP757">
        <v>1</v>
      </c>
    </row>
    <row r="758" spans="1:68">
      <c r="A758">
        <v>42</v>
      </c>
      <c r="AH758" s="6"/>
      <c r="AI758" s="33">
        <v>56.495800000000003</v>
      </c>
      <c r="BO758" s="6"/>
      <c r="BP758">
        <v>1</v>
      </c>
    </row>
    <row r="759" spans="1:68">
      <c r="A759">
        <v>42</v>
      </c>
      <c r="AH759" s="6"/>
      <c r="AI759" s="33">
        <v>56.495800000000003</v>
      </c>
      <c r="BO759" s="6"/>
      <c r="BP759">
        <v>1</v>
      </c>
    </row>
    <row r="760" spans="1:68">
      <c r="A760">
        <v>42</v>
      </c>
      <c r="AH760" s="6"/>
      <c r="AI760" s="33">
        <v>56.495800000000003</v>
      </c>
      <c r="BO760" s="6"/>
      <c r="BP760">
        <v>1</v>
      </c>
    </row>
    <row r="761" spans="1:68">
      <c r="A761">
        <v>42</v>
      </c>
      <c r="AH761" s="6"/>
      <c r="AI761" s="33">
        <v>56.495800000000003</v>
      </c>
      <c r="BO761" s="6"/>
      <c r="BP761">
        <v>1</v>
      </c>
    </row>
    <row r="762" spans="1:68">
      <c r="A762">
        <v>42</v>
      </c>
      <c r="AH762" s="6"/>
      <c r="AI762" s="33">
        <v>56.495800000000003</v>
      </c>
      <c r="BO762" s="6"/>
      <c r="BP762">
        <v>1</v>
      </c>
    </row>
    <row r="763" spans="1:68">
      <c r="A763">
        <v>43</v>
      </c>
      <c r="AH763" s="6"/>
      <c r="AI763" s="33">
        <v>56.495800000000003</v>
      </c>
      <c r="BO763" s="6"/>
      <c r="BP763">
        <v>1</v>
      </c>
    </row>
    <row r="764" spans="1:68">
      <c r="A764">
        <v>43</v>
      </c>
      <c r="AH764" s="6"/>
      <c r="AI764" s="33">
        <v>56.929200000000002</v>
      </c>
      <c r="BO764" s="6"/>
      <c r="BP764">
        <v>1</v>
      </c>
    </row>
    <row r="765" spans="1:68">
      <c r="A765">
        <v>43</v>
      </c>
      <c r="AH765" s="6"/>
      <c r="AI765" s="33">
        <v>56.929200000000002</v>
      </c>
      <c r="BO765" s="6"/>
      <c r="BP765">
        <v>1</v>
      </c>
    </row>
    <row r="766" spans="1:68">
      <c r="A766">
        <v>43</v>
      </c>
      <c r="AH766" s="6"/>
      <c r="AI766" s="33">
        <v>57</v>
      </c>
      <c r="BO766" s="6"/>
      <c r="BP766">
        <v>1</v>
      </c>
    </row>
    <row r="767" spans="1:68">
      <c r="A767">
        <v>43</v>
      </c>
      <c r="AH767" s="6"/>
      <c r="AI767" s="33">
        <v>57</v>
      </c>
      <c r="BO767" s="6"/>
      <c r="BP767">
        <v>1</v>
      </c>
    </row>
    <row r="768" spans="1:68">
      <c r="A768">
        <v>44</v>
      </c>
      <c r="AH768" s="6"/>
      <c r="AI768" s="33">
        <v>57.979199999999999</v>
      </c>
      <c r="BO768" s="6"/>
      <c r="BP768">
        <v>1</v>
      </c>
    </row>
    <row r="769" spans="1:68">
      <c r="A769">
        <v>44</v>
      </c>
      <c r="AH769" s="6"/>
      <c r="AI769" s="33">
        <v>57.979199999999999</v>
      </c>
      <c r="BO769" s="6"/>
      <c r="BP769">
        <v>1</v>
      </c>
    </row>
    <row r="770" spans="1:68">
      <c r="A770">
        <v>44</v>
      </c>
      <c r="AH770" s="6"/>
      <c r="AI770" s="33">
        <v>59.4</v>
      </c>
      <c r="BO770" s="6"/>
      <c r="BP770">
        <v>1</v>
      </c>
    </row>
    <row r="771" spans="1:68">
      <c r="A771">
        <v>44</v>
      </c>
      <c r="AH771" s="6"/>
      <c r="AI771" s="33">
        <v>61.174999999999997</v>
      </c>
      <c r="BO771" s="6"/>
      <c r="BP771">
        <v>1</v>
      </c>
    </row>
    <row r="772" spans="1:68">
      <c r="A772">
        <v>44</v>
      </c>
      <c r="AH772" s="6"/>
      <c r="AI772" s="33">
        <v>61.379199999999997</v>
      </c>
      <c r="BO772" s="6"/>
      <c r="BP772">
        <v>1</v>
      </c>
    </row>
    <row r="773" spans="1:68">
      <c r="A773">
        <v>44</v>
      </c>
      <c r="AH773" s="6"/>
      <c r="AI773" s="33">
        <v>61.979199999999999</v>
      </c>
      <c r="BO773" s="6"/>
      <c r="BP773">
        <v>1</v>
      </c>
    </row>
    <row r="774" spans="1:68">
      <c r="A774">
        <v>44</v>
      </c>
      <c r="AH774" s="6"/>
      <c r="AI774" s="33">
        <v>63.3583</v>
      </c>
      <c r="BO774" s="6"/>
      <c r="BP774">
        <v>1</v>
      </c>
    </row>
    <row r="775" spans="1:68">
      <c r="A775">
        <v>44</v>
      </c>
      <c r="AH775" s="6"/>
      <c r="AI775" s="33">
        <v>65</v>
      </c>
      <c r="BO775" s="6"/>
      <c r="BP775">
        <v>1</v>
      </c>
    </row>
    <row r="776" spans="1:68">
      <c r="A776">
        <v>44</v>
      </c>
      <c r="AH776" s="6"/>
      <c r="AI776" s="33">
        <v>65</v>
      </c>
      <c r="BO776" s="6"/>
      <c r="BP776">
        <v>1</v>
      </c>
    </row>
    <row r="777" spans="1:68">
      <c r="A777">
        <v>45</v>
      </c>
      <c r="AH777" s="6"/>
      <c r="AI777" s="33">
        <v>66.599999999999994</v>
      </c>
      <c r="BO777" s="6"/>
      <c r="BP777">
        <v>1</v>
      </c>
    </row>
    <row r="778" spans="1:68">
      <c r="A778">
        <v>45</v>
      </c>
      <c r="AH778" s="6"/>
      <c r="AI778" s="33">
        <v>66.599999999999994</v>
      </c>
      <c r="BO778" s="6"/>
      <c r="BP778">
        <v>1</v>
      </c>
    </row>
    <row r="779" spans="1:68">
      <c r="A779">
        <v>45</v>
      </c>
      <c r="AH779" s="6"/>
      <c r="AI779" s="33">
        <v>69.3</v>
      </c>
      <c r="BO779" s="6"/>
      <c r="BP779">
        <v>1</v>
      </c>
    </row>
    <row r="780" spans="1:68">
      <c r="A780">
        <v>45</v>
      </c>
      <c r="AH780" s="6"/>
      <c r="AI780" s="33">
        <v>69.3</v>
      </c>
      <c r="BO780" s="6"/>
      <c r="BP780">
        <v>1</v>
      </c>
    </row>
    <row r="781" spans="1:68">
      <c r="A781">
        <v>45</v>
      </c>
      <c r="AH781" s="6"/>
      <c r="AI781" s="33">
        <v>69.55</v>
      </c>
      <c r="BO781" s="6"/>
      <c r="BP781">
        <v>1</v>
      </c>
    </row>
    <row r="782" spans="1:68">
      <c r="A782">
        <v>45</v>
      </c>
      <c r="AH782" s="6"/>
      <c r="AI782" s="33">
        <v>69.55</v>
      </c>
      <c r="BO782" s="6"/>
      <c r="BP782">
        <v>1</v>
      </c>
    </row>
    <row r="783" spans="1:68">
      <c r="A783">
        <v>45</v>
      </c>
      <c r="AH783" s="6"/>
      <c r="AI783" s="33">
        <v>69.55</v>
      </c>
      <c r="BO783" s="6"/>
      <c r="BP783">
        <v>1</v>
      </c>
    </row>
    <row r="784" spans="1:68">
      <c r="A784">
        <v>45</v>
      </c>
      <c r="AH784" s="6"/>
      <c r="AI784" s="33">
        <v>69.55</v>
      </c>
      <c r="BO784" s="6"/>
      <c r="BP784">
        <v>1</v>
      </c>
    </row>
    <row r="785" spans="1:68">
      <c r="A785">
        <v>45</v>
      </c>
      <c r="AH785" s="6"/>
      <c r="AI785" s="33">
        <v>69.55</v>
      </c>
      <c r="BO785" s="6"/>
      <c r="BP785">
        <v>1</v>
      </c>
    </row>
    <row r="786" spans="1:68">
      <c r="A786">
        <v>45</v>
      </c>
      <c r="AH786" s="6"/>
      <c r="AI786" s="33">
        <v>69.55</v>
      </c>
      <c r="BO786" s="6"/>
      <c r="BP786">
        <v>1</v>
      </c>
    </row>
    <row r="787" spans="1:68">
      <c r="A787">
        <v>45</v>
      </c>
      <c r="AH787" s="6"/>
      <c r="AI787" s="33">
        <v>69.55</v>
      </c>
      <c r="BO787" s="6"/>
      <c r="BP787">
        <v>1</v>
      </c>
    </row>
    <row r="788" spans="1:68">
      <c r="A788">
        <v>45</v>
      </c>
      <c r="AH788" s="6"/>
      <c r="AI788" s="33">
        <v>71</v>
      </c>
      <c r="BO788" s="6"/>
      <c r="BP788">
        <v>1</v>
      </c>
    </row>
    <row r="789" spans="1:68">
      <c r="A789">
        <v>45.5</v>
      </c>
      <c r="AH789" s="6"/>
      <c r="AI789" s="33">
        <v>71</v>
      </c>
      <c r="BO789" s="6"/>
      <c r="BP789">
        <v>1</v>
      </c>
    </row>
    <row r="790" spans="1:68">
      <c r="A790">
        <v>45.5</v>
      </c>
      <c r="AH790" s="6"/>
      <c r="AI790" s="33">
        <v>71.283299999999997</v>
      </c>
      <c r="BO790" s="6"/>
      <c r="BP790">
        <v>1</v>
      </c>
    </row>
    <row r="791" spans="1:68">
      <c r="A791">
        <v>46</v>
      </c>
      <c r="AH791" s="6"/>
      <c r="AI791" s="33">
        <v>73.5</v>
      </c>
      <c r="BO791" s="6"/>
      <c r="BP791">
        <v>1</v>
      </c>
    </row>
    <row r="792" spans="1:68">
      <c r="A792">
        <v>46</v>
      </c>
      <c r="AH792" s="6"/>
      <c r="AI792" s="33">
        <v>73.5</v>
      </c>
      <c r="BO792" s="6"/>
      <c r="BP792">
        <v>1</v>
      </c>
    </row>
    <row r="793" spans="1:68">
      <c r="A793">
        <v>46</v>
      </c>
      <c r="AH793" s="6"/>
      <c r="AI793" s="33">
        <v>73.5</v>
      </c>
      <c r="BO793" s="6"/>
      <c r="BP793">
        <v>1</v>
      </c>
    </row>
    <row r="794" spans="1:68">
      <c r="A794">
        <v>47</v>
      </c>
      <c r="AH794" s="6"/>
      <c r="AI794" s="33">
        <v>73.5</v>
      </c>
      <c r="BO794" s="6"/>
      <c r="BP794">
        <v>1</v>
      </c>
    </row>
    <row r="795" spans="1:68">
      <c r="A795">
        <v>47</v>
      </c>
      <c r="AH795" s="6"/>
      <c r="AI795" s="33">
        <v>73.5</v>
      </c>
      <c r="BO795" s="6"/>
      <c r="BP795">
        <v>1</v>
      </c>
    </row>
    <row r="796" spans="1:68">
      <c r="A796">
        <v>47</v>
      </c>
      <c r="AH796" s="6"/>
      <c r="AI796" s="33">
        <v>75.25</v>
      </c>
      <c r="BO796" s="6"/>
      <c r="BP796">
        <v>1</v>
      </c>
    </row>
    <row r="797" spans="1:68">
      <c r="A797">
        <v>47</v>
      </c>
      <c r="AH797" s="6"/>
      <c r="AI797" s="33">
        <v>76.291700000000006</v>
      </c>
      <c r="BO797" s="6"/>
      <c r="BP797">
        <v>1</v>
      </c>
    </row>
    <row r="798" spans="1:68">
      <c r="A798">
        <v>47</v>
      </c>
      <c r="AH798" s="6"/>
      <c r="AI798" s="33">
        <v>76.729200000000006</v>
      </c>
      <c r="BO798" s="6"/>
      <c r="BP798">
        <v>1</v>
      </c>
    </row>
    <row r="799" spans="1:68">
      <c r="A799">
        <v>47</v>
      </c>
      <c r="AH799" s="6"/>
      <c r="AI799" s="33">
        <v>76.729200000000006</v>
      </c>
      <c r="BO799" s="6"/>
      <c r="BP799">
        <v>1</v>
      </c>
    </row>
    <row r="800" spans="1:68">
      <c r="A800">
        <v>47</v>
      </c>
      <c r="AH800" s="6"/>
      <c r="AI800" s="33">
        <v>76.729200000000006</v>
      </c>
      <c r="BO800" s="6"/>
      <c r="BP800">
        <v>1</v>
      </c>
    </row>
    <row r="801" spans="1:68">
      <c r="A801">
        <v>47</v>
      </c>
      <c r="AH801" s="6"/>
      <c r="AI801" s="33">
        <v>77.287499999999994</v>
      </c>
      <c r="BO801" s="6"/>
      <c r="BP801">
        <v>1</v>
      </c>
    </row>
    <row r="802" spans="1:68">
      <c r="A802">
        <v>47</v>
      </c>
      <c r="AH802" s="6"/>
      <c r="AI802" s="33">
        <v>77.287499999999994</v>
      </c>
      <c r="BO802" s="6"/>
      <c r="BP802">
        <v>1</v>
      </c>
    </row>
    <row r="803" spans="1:68">
      <c r="A803">
        <v>48</v>
      </c>
      <c r="AH803" s="6"/>
      <c r="AI803" s="33">
        <v>77.958299999999994</v>
      </c>
      <c r="BO803" s="6"/>
      <c r="BP803">
        <v>1</v>
      </c>
    </row>
    <row r="804" spans="1:68">
      <c r="A804">
        <v>48</v>
      </c>
      <c r="AH804" s="6"/>
      <c r="AI804" s="33">
        <v>77.958299999999994</v>
      </c>
      <c r="BO804" s="6"/>
      <c r="BP804">
        <v>1</v>
      </c>
    </row>
    <row r="805" spans="1:68">
      <c r="A805">
        <v>48</v>
      </c>
      <c r="AH805" s="6"/>
      <c r="AI805" s="33">
        <v>77.958299999999994</v>
      </c>
      <c r="BO805" s="6"/>
      <c r="BP805">
        <v>1</v>
      </c>
    </row>
    <row r="806" spans="1:68">
      <c r="A806">
        <v>48</v>
      </c>
      <c r="AH806" s="6"/>
      <c r="AI806" s="33">
        <v>78.2667</v>
      </c>
      <c r="BO806" s="6"/>
      <c r="BP806">
        <v>1</v>
      </c>
    </row>
    <row r="807" spans="1:68">
      <c r="A807">
        <v>48</v>
      </c>
      <c r="AH807" s="6"/>
      <c r="AI807" s="33">
        <v>78.2667</v>
      </c>
      <c r="BO807" s="6"/>
      <c r="BP807">
        <v>1</v>
      </c>
    </row>
    <row r="808" spans="1:68">
      <c r="A808">
        <v>48</v>
      </c>
      <c r="AH808" s="6"/>
      <c r="AI808" s="33">
        <v>78.849999999999994</v>
      </c>
      <c r="BO808" s="6"/>
      <c r="BP808">
        <v>1</v>
      </c>
    </row>
    <row r="809" spans="1:68">
      <c r="A809">
        <v>48</v>
      </c>
      <c r="AH809" s="6"/>
      <c r="AI809" s="33">
        <v>78.849999999999994</v>
      </c>
      <c r="BO809" s="6"/>
      <c r="BP809">
        <v>1</v>
      </c>
    </row>
    <row r="810" spans="1:68">
      <c r="A810">
        <v>48</v>
      </c>
      <c r="AH810" s="6"/>
      <c r="AI810" s="33">
        <v>79.2</v>
      </c>
      <c r="BO810" s="6"/>
      <c r="BP810">
        <v>1</v>
      </c>
    </row>
    <row r="811" spans="1:68">
      <c r="A811">
        <v>48</v>
      </c>
      <c r="AH811" s="6"/>
      <c r="AI811" s="33">
        <v>79.2</v>
      </c>
      <c r="BO811" s="6"/>
      <c r="BP811">
        <v>1</v>
      </c>
    </row>
    <row r="812" spans="1:68">
      <c r="A812">
        <v>49</v>
      </c>
      <c r="AH812" s="6"/>
      <c r="AI812" s="33">
        <v>79.2</v>
      </c>
      <c r="BO812" s="6"/>
      <c r="BP812">
        <v>1</v>
      </c>
    </row>
    <row r="813" spans="1:68">
      <c r="A813">
        <v>49</v>
      </c>
      <c r="AH813" s="6"/>
      <c r="AI813" s="33">
        <v>79.2</v>
      </c>
      <c r="BO813" s="6"/>
      <c r="BP813">
        <v>1</v>
      </c>
    </row>
    <row r="814" spans="1:68">
      <c r="A814">
        <v>49</v>
      </c>
      <c r="AH814" s="6"/>
      <c r="AI814" s="33">
        <v>79.650000000000006</v>
      </c>
      <c r="BO814" s="6"/>
      <c r="BP814">
        <v>1</v>
      </c>
    </row>
    <row r="815" spans="1:68">
      <c r="A815">
        <v>49</v>
      </c>
      <c r="AH815" s="6"/>
      <c r="AI815" s="33">
        <v>79.650000000000006</v>
      </c>
      <c r="BO815" s="6"/>
      <c r="BP815">
        <v>1</v>
      </c>
    </row>
    <row r="816" spans="1:68">
      <c r="A816">
        <v>49</v>
      </c>
      <c r="AH816" s="6"/>
      <c r="AI816" s="33">
        <v>79.650000000000006</v>
      </c>
      <c r="BO816" s="6"/>
      <c r="BP816">
        <v>1</v>
      </c>
    </row>
    <row r="817" spans="1:68">
      <c r="A817">
        <v>49</v>
      </c>
      <c r="AH817" s="6"/>
      <c r="AI817" s="33">
        <v>81.8583</v>
      </c>
      <c r="BO817" s="6"/>
      <c r="BP817">
        <v>2</v>
      </c>
    </row>
    <row r="818" spans="1:68">
      <c r="A818">
        <v>50</v>
      </c>
      <c r="AH818" s="6"/>
      <c r="AI818" s="33">
        <v>82.1708</v>
      </c>
      <c r="BO818" s="6"/>
      <c r="BP818">
        <v>2</v>
      </c>
    </row>
    <row r="819" spans="1:68">
      <c r="A819">
        <v>50</v>
      </c>
      <c r="AH819" s="6"/>
      <c r="AI819" s="33">
        <v>82.1708</v>
      </c>
      <c r="BO819" s="6"/>
      <c r="BP819">
        <v>2</v>
      </c>
    </row>
    <row r="820" spans="1:68">
      <c r="A820">
        <v>50</v>
      </c>
      <c r="AH820" s="6"/>
      <c r="AI820" s="33">
        <v>83.158299999999997</v>
      </c>
      <c r="BO820" s="6"/>
      <c r="BP820">
        <v>2</v>
      </c>
    </row>
    <row r="821" spans="1:68">
      <c r="A821">
        <v>50</v>
      </c>
      <c r="AH821" s="6"/>
      <c r="AI821" s="33">
        <v>83.158299999999997</v>
      </c>
      <c r="BO821" s="6"/>
      <c r="BP821">
        <v>2</v>
      </c>
    </row>
    <row r="822" spans="1:68">
      <c r="A822">
        <v>50</v>
      </c>
      <c r="AH822" s="6"/>
      <c r="AI822" s="33">
        <v>83.158299999999997</v>
      </c>
      <c r="BO822" s="6"/>
      <c r="BP822">
        <v>2</v>
      </c>
    </row>
    <row r="823" spans="1:68">
      <c r="A823">
        <v>50</v>
      </c>
      <c r="AH823" s="6"/>
      <c r="AI823" s="33">
        <v>83.474999999999994</v>
      </c>
      <c r="BO823" s="6"/>
      <c r="BP823">
        <v>2</v>
      </c>
    </row>
    <row r="824" spans="1:68">
      <c r="A824">
        <v>50</v>
      </c>
      <c r="AH824" s="6"/>
      <c r="AI824" s="33">
        <v>83.474999999999994</v>
      </c>
      <c r="BO824" s="6"/>
      <c r="BP824">
        <v>2</v>
      </c>
    </row>
    <row r="825" spans="1:68">
      <c r="A825">
        <v>50</v>
      </c>
      <c r="AH825" s="6"/>
      <c r="AI825" s="33">
        <v>86.5</v>
      </c>
      <c r="BO825" s="6"/>
      <c r="BP825">
        <v>2</v>
      </c>
    </row>
    <row r="826" spans="1:68">
      <c r="A826">
        <v>50</v>
      </c>
      <c r="AH826" s="6"/>
      <c r="AI826" s="33">
        <v>86.5</v>
      </c>
      <c r="BO826" s="6"/>
      <c r="BP826">
        <v>2</v>
      </c>
    </row>
    <row r="827" spans="1:68">
      <c r="A827">
        <v>50</v>
      </c>
      <c r="AH827" s="6"/>
      <c r="AI827" s="33">
        <v>86.5</v>
      </c>
      <c r="BO827" s="6"/>
      <c r="BP827">
        <v>2</v>
      </c>
    </row>
    <row r="828" spans="1:68">
      <c r="A828">
        <v>51</v>
      </c>
      <c r="AH828" s="6"/>
      <c r="AI828" s="33">
        <v>89.104200000000006</v>
      </c>
      <c r="BO828" s="6"/>
      <c r="BP828">
        <v>2</v>
      </c>
    </row>
    <row r="829" spans="1:68">
      <c r="A829">
        <v>51</v>
      </c>
      <c r="AH829" s="6"/>
      <c r="AI829" s="33">
        <v>89.104200000000006</v>
      </c>
      <c r="BO829" s="6"/>
      <c r="BP829">
        <v>2</v>
      </c>
    </row>
    <row r="830" spans="1:68">
      <c r="A830">
        <v>51</v>
      </c>
      <c r="AH830" s="6"/>
      <c r="AI830" s="33">
        <v>90</v>
      </c>
      <c r="BO830" s="6"/>
      <c r="BP830">
        <v>2</v>
      </c>
    </row>
    <row r="831" spans="1:68">
      <c r="A831">
        <v>51</v>
      </c>
      <c r="AH831" s="6"/>
      <c r="AI831" s="33">
        <v>90</v>
      </c>
      <c r="BO831" s="6"/>
      <c r="BP831">
        <v>2</v>
      </c>
    </row>
    <row r="832" spans="1:68">
      <c r="A832">
        <v>51</v>
      </c>
      <c r="AH832" s="6"/>
      <c r="AI832" s="33">
        <v>90</v>
      </c>
      <c r="BO832" s="6"/>
      <c r="BP832">
        <v>2</v>
      </c>
    </row>
    <row r="833" spans="1:68">
      <c r="A833">
        <v>51</v>
      </c>
      <c r="AH833" s="6"/>
      <c r="AI833" s="33">
        <v>90</v>
      </c>
      <c r="BO833" s="6"/>
      <c r="BP833">
        <v>2</v>
      </c>
    </row>
    <row r="834" spans="1:68">
      <c r="A834">
        <v>51</v>
      </c>
      <c r="AH834" s="6"/>
      <c r="AI834" s="33">
        <v>91.0792</v>
      </c>
      <c r="BO834" s="6"/>
      <c r="BP834">
        <v>2</v>
      </c>
    </row>
    <row r="835" spans="1:68">
      <c r="A835">
        <v>52</v>
      </c>
      <c r="AH835" s="6"/>
      <c r="AI835" s="33">
        <v>91.0792</v>
      </c>
      <c r="BO835" s="6"/>
      <c r="BP835">
        <v>2</v>
      </c>
    </row>
    <row r="836" spans="1:68">
      <c r="A836">
        <v>52</v>
      </c>
      <c r="AH836" s="6"/>
      <c r="AI836" s="33">
        <v>93.5</v>
      </c>
      <c r="BO836" s="6"/>
      <c r="BP836">
        <v>2</v>
      </c>
    </row>
    <row r="837" spans="1:68">
      <c r="A837">
        <v>52</v>
      </c>
      <c r="AH837" s="6"/>
      <c r="AI837" s="33">
        <v>93.5</v>
      </c>
      <c r="BO837" s="6"/>
      <c r="BP837">
        <v>2</v>
      </c>
    </row>
    <row r="838" spans="1:68">
      <c r="A838">
        <v>52</v>
      </c>
      <c r="AH838" s="6"/>
      <c r="AI838" s="33">
        <v>106.425</v>
      </c>
      <c r="BO838" s="6"/>
      <c r="BP838">
        <v>2</v>
      </c>
    </row>
    <row r="839" spans="1:68">
      <c r="A839">
        <v>52</v>
      </c>
      <c r="AH839" s="6"/>
      <c r="AI839" s="33">
        <v>106.425</v>
      </c>
      <c r="BO839" s="6"/>
      <c r="BP839">
        <v>2</v>
      </c>
    </row>
    <row r="840" spans="1:68">
      <c r="A840">
        <v>52</v>
      </c>
      <c r="AH840" s="6"/>
      <c r="AI840" s="33">
        <v>108.9</v>
      </c>
      <c r="BO840" s="6"/>
      <c r="BP840">
        <v>2</v>
      </c>
    </row>
    <row r="841" spans="1:68">
      <c r="A841">
        <v>53</v>
      </c>
      <c r="AH841" s="6"/>
      <c r="AI841" s="33">
        <v>108.9</v>
      </c>
      <c r="BO841" s="6"/>
      <c r="BP841">
        <v>2</v>
      </c>
    </row>
    <row r="842" spans="1:68">
      <c r="A842">
        <v>54</v>
      </c>
      <c r="AH842" s="6"/>
      <c r="AI842" s="33">
        <v>110.88330000000001</v>
      </c>
      <c r="BO842" s="6"/>
      <c r="BP842">
        <v>2</v>
      </c>
    </row>
    <row r="843" spans="1:68">
      <c r="A843">
        <v>54</v>
      </c>
      <c r="AH843" s="6"/>
      <c r="AI843" s="33">
        <v>110.88330000000001</v>
      </c>
      <c r="BO843" s="6"/>
      <c r="BP843">
        <v>2</v>
      </c>
    </row>
    <row r="844" spans="1:68">
      <c r="A844">
        <v>54</v>
      </c>
      <c r="AH844" s="6"/>
      <c r="AI844" s="33">
        <v>110.88330000000001</v>
      </c>
      <c r="BO844" s="6"/>
      <c r="BP844">
        <v>2</v>
      </c>
    </row>
    <row r="845" spans="1:68">
      <c r="A845">
        <v>54</v>
      </c>
      <c r="AH845" s="6"/>
      <c r="AI845" s="33">
        <v>110.88330000000001</v>
      </c>
      <c r="BO845" s="6"/>
      <c r="BP845">
        <v>3</v>
      </c>
    </row>
    <row r="846" spans="1:68">
      <c r="A846">
        <v>54</v>
      </c>
      <c r="AH846" s="6"/>
      <c r="AI846" s="33">
        <v>113.27500000000001</v>
      </c>
      <c r="BO846" s="6"/>
      <c r="BP846">
        <v>3</v>
      </c>
    </row>
    <row r="847" spans="1:68">
      <c r="A847">
        <v>54</v>
      </c>
      <c r="AH847" s="6"/>
      <c r="AI847" s="33">
        <v>113.27500000000001</v>
      </c>
      <c r="BO847" s="6"/>
      <c r="BP847">
        <v>3</v>
      </c>
    </row>
    <row r="848" spans="1:68">
      <c r="A848">
        <v>54</v>
      </c>
      <c r="AH848" s="6"/>
      <c r="AI848" s="33">
        <v>113.27500000000001</v>
      </c>
      <c r="BO848" s="6"/>
      <c r="BP848">
        <v>3</v>
      </c>
    </row>
    <row r="849" spans="1:68">
      <c r="A849">
        <v>54</v>
      </c>
      <c r="AH849" s="6"/>
      <c r="AI849" s="33">
        <v>120</v>
      </c>
      <c r="BO849" s="6"/>
      <c r="BP849">
        <v>3</v>
      </c>
    </row>
    <row r="850" spans="1:68">
      <c r="A850">
        <v>55</v>
      </c>
      <c r="AH850" s="6"/>
      <c r="AI850" s="33">
        <v>120</v>
      </c>
      <c r="BO850" s="6"/>
      <c r="BP850">
        <v>3</v>
      </c>
    </row>
    <row r="851" spans="1:68">
      <c r="A851">
        <v>55</v>
      </c>
      <c r="AH851" s="6"/>
      <c r="AI851" s="33">
        <v>120</v>
      </c>
      <c r="BO851" s="6"/>
      <c r="BP851">
        <v>3</v>
      </c>
    </row>
    <row r="852" spans="1:68">
      <c r="A852">
        <v>55.5</v>
      </c>
      <c r="AH852" s="6"/>
      <c r="AI852" s="33">
        <v>120</v>
      </c>
      <c r="BO852" s="6"/>
      <c r="BP852">
        <v>3</v>
      </c>
    </row>
    <row r="853" spans="1:68">
      <c r="A853">
        <v>56</v>
      </c>
      <c r="AH853" s="6"/>
      <c r="AI853" s="33">
        <v>133.65</v>
      </c>
      <c r="BO853" s="6"/>
      <c r="BP853">
        <v>3</v>
      </c>
    </row>
    <row r="854" spans="1:68">
      <c r="A854">
        <v>56</v>
      </c>
      <c r="AH854" s="6"/>
      <c r="AI854" s="33">
        <v>133.65</v>
      </c>
      <c r="BO854" s="6"/>
      <c r="BP854">
        <v>3</v>
      </c>
    </row>
    <row r="855" spans="1:68">
      <c r="A855">
        <v>56</v>
      </c>
      <c r="AH855" s="6"/>
      <c r="AI855" s="33">
        <v>134.5</v>
      </c>
      <c r="BO855" s="6"/>
      <c r="BP855">
        <v>3</v>
      </c>
    </row>
    <row r="856" spans="1:68">
      <c r="A856">
        <v>56</v>
      </c>
      <c r="AH856" s="6"/>
      <c r="AI856" s="33">
        <v>134.5</v>
      </c>
      <c r="BO856" s="6"/>
      <c r="BP856">
        <v>3</v>
      </c>
    </row>
    <row r="857" spans="1:68">
      <c r="A857">
        <v>57</v>
      </c>
      <c r="AH857" s="6"/>
      <c r="AI857" s="33">
        <v>135.63329999999999</v>
      </c>
      <c r="BO857" s="6"/>
      <c r="BP857">
        <v>3</v>
      </c>
    </row>
    <row r="858" spans="1:68">
      <c r="A858">
        <v>57</v>
      </c>
      <c r="AH858" s="6"/>
      <c r="AI858" s="33">
        <v>135.63329999999999</v>
      </c>
      <c r="BO858" s="6"/>
      <c r="BP858">
        <v>3</v>
      </c>
    </row>
    <row r="859" spans="1:68">
      <c r="A859">
        <v>58</v>
      </c>
      <c r="AH859" s="6"/>
      <c r="AI859" s="33">
        <v>135.63329999999999</v>
      </c>
      <c r="BO859" s="6"/>
      <c r="BP859">
        <v>3</v>
      </c>
    </row>
    <row r="860" spans="1:68">
      <c r="A860">
        <v>58</v>
      </c>
      <c r="AH860" s="6"/>
      <c r="AI860" s="33">
        <v>146.52080000000001</v>
      </c>
      <c r="BO860" s="6"/>
      <c r="BP860">
        <v>3</v>
      </c>
    </row>
    <row r="861" spans="1:68">
      <c r="A861">
        <v>58</v>
      </c>
      <c r="AH861" s="6"/>
      <c r="AI861" s="33">
        <v>146.52080000000001</v>
      </c>
      <c r="BO861" s="6"/>
      <c r="BP861">
        <v>4</v>
      </c>
    </row>
    <row r="862" spans="1:68">
      <c r="A862">
        <v>58</v>
      </c>
      <c r="AH862" s="6"/>
      <c r="AI862" s="33">
        <v>151.55000000000001</v>
      </c>
      <c r="BO862" s="6"/>
      <c r="BP862">
        <v>4</v>
      </c>
    </row>
    <row r="863" spans="1:68">
      <c r="A863">
        <v>58</v>
      </c>
      <c r="AH863" s="6"/>
      <c r="AI863" s="33">
        <v>151.55000000000001</v>
      </c>
      <c r="BO863" s="6"/>
      <c r="BP863">
        <v>4</v>
      </c>
    </row>
    <row r="864" spans="1:68">
      <c r="A864">
        <v>59</v>
      </c>
      <c r="AH864" s="6"/>
      <c r="AI864" s="33">
        <v>151.55000000000001</v>
      </c>
      <c r="BO864" s="6"/>
      <c r="BP864">
        <v>4</v>
      </c>
    </row>
    <row r="865" spans="1:68">
      <c r="A865">
        <v>59</v>
      </c>
      <c r="AH865" s="6"/>
      <c r="AI865" s="33">
        <v>151.55000000000001</v>
      </c>
      <c r="BO865" s="6"/>
      <c r="BP865">
        <v>4</v>
      </c>
    </row>
    <row r="866" spans="1:68">
      <c r="A866">
        <v>60</v>
      </c>
      <c r="AH866" s="6"/>
      <c r="AI866" s="33">
        <v>153.46250000000001</v>
      </c>
      <c r="BO866" s="6"/>
      <c r="BP866">
        <v>4</v>
      </c>
    </row>
    <row r="867" spans="1:68">
      <c r="A867">
        <v>60</v>
      </c>
      <c r="AH867" s="6"/>
      <c r="AI867" s="33">
        <v>153.46250000000001</v>
      </c>
      <c r="BO867" s="6"/>
      <c r="BP867">
        <v>4</v>
      </c>
    </row>
    <row r="868" spans="1:68">
      <c r="A868">
        <v>60</v>
      </c>
      <c r="AH868" s="6"/>
      <c r="AI868" s="33">
        <v>153.46250000000001</v>
      </c>
      <c r="BO868" s="6"/>
      <c r="BP868">
        <v>4</v>
      </c>
    </row>
    <row r="869" spans="1:68">
      <c r="A869">
        <v>60</v>
      </c>
      <c r="AH869" s="6"/>
      <c r="AI869" s="33">
        <v>164.86670000000001</v>
      </c>
      <c r="BO869" s="6"/>
      <c r="BP869">
        <v>4</v>
      </c>
    </row>
    <row r="870" spans="1:68">
      <c r="A870">
        <v>61</v>
      </c>
      <c r="AH870" s="6"/>
      <c r="AI870" s="33">
        <v>164.86670000000001</v>
      </c>
      <c r="BO870" s="6"/>
      <c r="BP870">
        <v>4</v>
      </c>
    </row>
    <row r="871" spans="1:68">
      <c r="A871">
        <v>61</v>
      </c>
      <c r="AH871" s="6"/>
      <c r="AI871" s="33">
        <v>211.33750000000001</v>
      </c>
      <c r="BO871" s="6"/>
      <c r="BP871">
        <v>4</v>
      </c>
    </row>
    <row r="872" spans="1:68">
      <c r="A872">
        <v>61</v>
      </c>
      <c r="AH872" s="6"/>
      <c r="AI872" s="33">
        <v>211.33750000000001</v>
      </c>
      <c r="BO872" s="6"/>
      <c r="BP872">
        <v>4</v>
      </c>
    </row>
    <row r="873" spans="1:68">
      <c r="A873">
        <v>62</v>
      </c>
      <c r="AH873" s="6"/>
      <c r="AI873" s="33">
        <v>211.33750000000001</v>
      </c>
      <c r="BO873" s="6"/>
      <c r="BP873">
        <v>4</v>
      </c>
    </row>
    <row r="874" spans="1:68">
      <c r="A874">
        <v>62</v>
      </c>
      <c r="AH874" s="6"/>
      <c r="AI874" s="33">
        <v>211.5</v>
      </c>
      <c r="BO874" s="6"/>
      <c r="BP874">
        <v>4</v>
      </c>
    </row>
    <row r="875" spans="1:68">
      <c r="A875">
        <v>62</v>
      </c>
      <c r="AH875" s="6"/>
      <c r="AI875" s="33">
        <v>221.7792</v>
      </c>
      <c r="BO875" s="6"/>
      <c r="BP875">
        <v>4</v>
      </c>
    </row>
    <row r="876" spans="1:68">
      <c r="A876">
        <v>63</v>
      </c>
      <c r="AH876" s="6"/>
      <c r="AI876" s="33">
        <v>227.52500000000001</v>
      </c>
      <c r="BO876" s="6"/>
      <c r="BP876">
        <v>4</v>
      </c>
    </row>
    <row r="877" spans="1:68">
      <c r="A877">
        <v>63</v>
      </c>
      <c r="AH877" s="6"/>
      <c r="AI877" s="33">
        <v>227.52500000000001</v>
      </c>
      <c r="BO877" s="6"/>
      <c r="BP877">
        <v>4</v>
      </c>
    </row>
    <row r="878" spans="1:68">
      <c r="A878">
        <v>64</v>
      </c>
      <c r="AH878" s="6"/>
      <c r="AI878" s="33">
        <v>227.52500000000001</v>
      </c>
      <c r="BO878" s="6"/>
      <c r="BP878">
        <v>4</v>
      </c>
    </row>
    <row r="879" spans="1:68">
      <c r="A879">
        <v>64</v>
      </c>
      <c r="AH879" s="6"/>
      <c r="AI879" s="33">
        <v>227.52500000000001</v>
      </c>
      <c r="BO879" s="6"/>
      <c r="BP879">
        <v>5</v>
      </c>
    </row>
    <row r="880" spans="1:68">
      <c r="A880">
        <v>65</v>
      </c>
      <c r="AH880" s="6"/>
      <c r="AI880" s="33">
        <v>247.52080000000001</v>
      </c>
      <c r="BO880" s="6"/>
      <c r="BP880">
        <v>5</v>
      </c>
    </row>
    <row r="881" spans="1:68">
      <c r="A881">
        <v>65</v>
      </c>
      <c r="AH881" s="6"/>
      <c r="AI881" s="33">
        <v>247.52080000000001</v>
      </c>
      <c r="BO881" s="6"/>
      <c r="BP881">
        <v>5</v>
      </c>
    </row>
    <row r="882" spans="1:68">
      <c r="A882">
        <v>65</v>
      </c>
      <c r="AH882" s="6"/>
      <c r="AI882" s="33">
        <v>262.375</v>
      </c>
      <c r="BO882" s="6"/>
      <c r="BP882">
        <v>5</v>
      </c>
    </row>
    <row r="883" spans="1:68">
      <c r="A883">
        <v>66</v>
      </c>
      <c r="AH883" s="6"/>
      <c r="AI883" s="33">
        <v>262.375</v>
      </c>
      <c r="BO883" s="6"/>
      <c r="BP883">
        <v>5</v>
      </c>
    </row>
    <row r="884" spans="1:68">
      <c r="A884">
        <v>70</v>
      </c>
      <c r="AH884" s="6"/>
      <c r="AI884" s="33">
        <v>263</v>
      </c>
      <c r="BO884" s="6"/>
      <c r="BP884">
        <v>8</v>
      </c>
    </row>
    <row r="885" spans="1:68">
      <c r="A885">
        <v>70</v>
      </c>
      <c r="AH885" s="6"/>
      <c r="AI885" s="33">
        <v>263</v>
      </c>
      <c r="BO885" s="6"/>
      <c r="BP885">
        <v>8</v>
      </c>
    </row>
    <row r="886" spans="1:68">
      <c r="A886">
        <v>70.5</v>
      </c>
      <c r="AH886" s="6"/>
      <c r="AI886" s="33">
        <v>263</v>
      </c>
      <c r="BO886" s="6"/>
      <c r="BP886">
        <v>8</v>
      </c>
    </row>
    <row r="887" spans="1:68">
      <c r="A887">
        <v>71</v>
      </c>
      <c r="AH887" s="6"/>
      <c r="AI887" s="33">
        <v>263</v>
      </c>
      <c r="BO887" s="6"/>
      <c r="BP887">
        <v>8</v>
      </c>
    </row>
    <row r="888" spans="1:68">
      <c r="A888">
        <v>71</v>
      </c>
      <c r="AH888" s="6"/>
      <c r="AI888" s="33">
        <v>512.32920000000001</v>
      </c>
      <c r="BO888" s="6"/>
      <c r="BP888">
        <v>8</v>
      </c>
    </row>
    <row r="889" spans="1:68">
      <c r="A889">
        <v>74</v>
      </c>
      <c r="AH889" s="6"/>
      <c r="AI889" s="33">
        <v>512.32920000000001</v>
      </c>
      <c r="BO889" s="6"/>
      <c r="BP889">
        <v>8</v>
      </c>
    </row>
    <row r="890" spans="1:68">
      <c r="A890">
        <v>80</v>
      </c>
      <c r="AH890" s="6"/>
      <c r="AI890" s="33">
        <v>512.32920000000001</v>
      </c>
      <c r="BO890" s="6"/>
      <c r="BP890">
        <v>8</v>
      </c>
    </row>
  </sheetData>
  <mergeCells count="9">
    <mergeCell ref="CD2:CK4"/>
    <mergeCell ref="L7:N7"/>
    <mergeCell ref="AK8:AL8"/>
    <mergeCell ref="BX3:BZ3"/>
    <mergeCell ref="CA3:CC3"/>
    <mergeCell ref="I2:P4"/>
    <mergeCell ref="AQ2:AX4"/>
    <mergeCell ref="C8:D8"/>
    <mergeCell ref="I7:K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119" r:id="rId3">
          <objectPr defaultSize="0" autoPict="0" r:id="rId4">
            <anchor moveWithCells="1" sizeWithCells="1">
              <from>
                <xdr:col>13</xdr:col>
                <xdr:colOff>266700</xdr:colOff>
                <xdr:row>91</xdr:row>
                <xdr:rowOff>114300</xdr:rowOff>
              </from>
              <to>
                <xdr:col>14</xdr:col>
                <xdr:colOff>485775</xdr:colOff>
                <xdr:row>93</xdr:row>
                <xdr:rowOff>85725</xdr:rowOff>
              </to>
            </anchor>
          </objectPr>
        </oleObject>
      </mc:Choice>
      <mc:Fallback>
        <oleObject progId="Equation.3" shapeId="4119" r:id="rId3"/>
      </mc:Fallback>
    </mc:AlternateContent>
    <mc:AlternateContent xmlns:mc="http://schemas.openxmlformats.org/markup-compatibility/2006">
      <mc:Choice Requires="x14">
        <oleObject progId="Equation.3" shapeId="4120" r:id="rId5">
          <objectPr defaultSize="0" autoPict="0" r:id="rId6">
            <anchor moveWithCells="1" sizeWithCells="1">
              <from>
                <xdr:col>13</xdr:col>
                <xdr:colOff>295275</xdr:colOff>
                <xdr:row>95</xdr:row>
                <xdr:rowOff>104775</xdr:rowOff>
              </from>
              <to>
                <xdr:col>15</xdr:col>
                <xdr:colOff>95250</xdr:colOff>
                <xdr:row>97</xdr:row>
                <xdr:rowOff>85725</xdr:rowOff>
              </to>
            </anchor>
          </objectPr>
        </oleObject>
      </mc:Choice>
      <mc:Fallback>
        <oleObject progId="Equation.3" shapeId="4120" r:id="rId5"/>
      </mc:Fallback>
    </mc:AlternateContent>
    <mc:AlternateContent xmlns:mc="http://schemas.openxmlformats.org/markup-compatibility/2006">
      <mc:Choice Requires="x14">
        <oleObject progId="Equation.3" shapeId="4147" r:id="rId7">
          <objectPr defaultSize="0" autoPict="0" r:id="rId4">
            <anchor moveWithCells="1" sizeWithCells="1">
              <from>
                <xdr:col>47</xdr:col>
                <xdr:colOff>266700</xdr:colOff>
                <xdr:row>91</xdr:row>
                <xdr:rowOff>114300</xdr:rowOff>
              </from>
              <to>
                <xdr:col>48</xdr:col>
                <xdr:colOff>485775</xdr:colOff>
                <xdr:row>93</xdr:row>
                <xdr:rowOff>85725</xdr:rowOff>
              </to>
            </anchor>
          </objectPr>
        </oleObject>
      </mc:Choice>
      <mc:Fallback>
        <oleObject progId="Equation.3" shapeId="4147" r:id="rId7"/>
      </mc:Fallback>
    </mc:AlternateContent>
    <mc:AlternateContent xmlns:mc="http://schemas.openxmlformats.org/markup-compatibility/2006">
      <mc:Choice Requires="x14">
        <oleObject progId="Equation.3" shapeId="4148" r:id="rId8">
          <objectPr defaultSize="0" autoPict="0" r:id="rId6">
            <anchor moveWithCells="1" sizeWithCells="1">
              <from>
                <xdr:col>47</xdr:col>
                <xdr:colOff>295275</xdr:colOff>
                <xdr:row>95</xdr:row>
                <xdr:rowOff>104775</xdr:rowOff>
              </from>
              <to>
                <xdr:col>49</xdr:col>
                <xdr:colOff>95250</xdr:colOff>
                <xdr:row>97</xdr:row>
                <xdr:rowOff>85725</xdr:rowOff>
              </to>
            </anchor>
          </objectPr>
        </oleObject>
      </mc:Choice>
      <mc:Fallback>
        <oleObject progId="Equation.3" shapeId="414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Limpios</vt:lpstr>
      <vt:lpstr>Tablas Cualitativas</vt:lpstr>
      <vt:lpstr>Tablas Cruzadas</vt:lpstr>
      <vt:lpstr>Estadísticos Descriptivos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Durán Cuenca</cp:lastModifiedBy>
  <dcterms:created xsi:type="dcterms:W3CDTF">2025-12-01T19:40:09Z</dcterms:created>
  <dcterms:modified xsi:type="dcterms:W3CDTF">2025-12-02T21:51:36Z</dcterms:modified>
</cp:coreProperties>
</file>